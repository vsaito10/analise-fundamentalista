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9"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B8" sqref="B8"/>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Apple</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Electronics (General)</t>
        </is>
      </c>
    </row>
    <row r="9" ht="15.95" customFormat="1" customHeight="1" s="199">
      <c r="A9" s="199" t="inlineStr">
        <is>
          <t>Industry (Global)</t>
        </is>
      </c>
      <c r="B9" s="209" t="inlineStr">
        <is>
          <t>Electronics (General)</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399294</v>
      </c>
      <c r="C11" s="621" t="n">
        <v>391035</v>
      </c>
      <c r="D11" s="209" t="n">
        <v>0.75</v>
      </c>
    </row>
    <row r="12" ht="15.95" customFormat="1" customHeight="1" s="199">
      <c r="A12" s="211" t="inlineStr">
        <is>
          <t>Operating income or EBIT</t>
        </is>
      </c>
      <c r="B12" s="621" t="n">
        <v>126066</v>
      </c>
      <c r="C12" s="621" t="n">
        <v>123216</v>
      </c>
      <c r="D12" s="209" t="n">
        <v>0.75</v>
      </c>
    </row>
    <row r="13" ht="15.95" customFormat="1" customHeight="1" s="199">
      <c r="A13" s="211" t="inlineStr">
        <is>
          <t>Interest expense</t>
        </is>
      </c>
      <c r="B13" s="621" t="n">
        <v>0</v>
      </c>
      <c r="C13" s="621" t="n">
        <v>0</v>
      </c>
      <c r="D13" s="213" t="n"/>
    </row>
    <row r="14" ht="15.95" customFormat="1" customHeight="1" s="199">
      <c r="A14" s="211" t="inlineStr">
        <is>
          <t>Book value of equity</t>
        </is>
      </c>
      <c r="B14" s="621" t="n">
        <v>65830</v>
      </c>
      <c r="C14" s="621" t="n">
        <v>56950</v>
      </c>
      <c r="D14" s="213" t="n"/>
    </row>
    <row r="15" ht="15.95" customFormat="1" customHeight="1" s="199">
      <c r="A15" s="211" t="inlineStr">
        <is>
          <t>Book value of debt</t>
        </is>
      </c>
      <c r="B15" s="621" t="n">
        <v>101698</v>
      </c>
      <c r="C15" s="621" t="n">
        <v>119059</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132986</v>
      </c>
      <c r="C18" s="621" t="n">
        <v>156650</v>
      </c>
      <c r="D18" s="213" t="n"/>
    </row>
    <row r="19" ht="15.95" customFormat="1" customHeight="1" s="199">
      <c r="A19" s="211" t="inlineStr">
        <is>
          <t>Cross holdings and other non-operating assets</t>
        </is>
      </c>
      <c r="B19" s="624" t="n">
        <v>55335</v>
      </c>
      <c r="C19" s="621" t="n">
        <v>46906</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15053</v>
      </c>
      <c r="C21" s="213" t="n"/>
      <c r="E21" s="472" t="inlineStr">
        <is>
          <t>Computed numbers: Here is what your company's numbers look like, relative to industry.</t>
        </is>
      </c>
    </row>
    <row r="22" ht="15.95" customFormat="1" customHeight="1" s="199">
      <c r="A22" s="211" t="inlineStr">
        <is>
          <t>Current stock price =</t>
        </is>
      </c>
      <c r="B22" s="621" t="n">
        <v>229.5399932861328</v>
      </c>
      <c r="C22" s="213" t="n"/>
      <c r="E22" s="234" t="inlineStr">
        <is>
          <t>If you are not working in US dollars, you should add the inflation differential to the industry averages.</t>
        </is>
      </c>
    </row>
    <row r="23" ht="15.95" customFormat="1" customHeight="1" s="199">
      <c r="A23" s="199" t="inlineStr">
        <is>
          <t>Effective tax rate =</t>
        </is>
      </c>
      <c r="B23" s="217" t="n">
        <v>0.164</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0.075</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0.3177</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0.075</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0.36</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5</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5</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0.0428</v>
      </c>
      <c r="C34" s="213" t="n"/>
      <c r="E34" s="219" t="inlineStr">
        <is>
          <t>Revenues in year 10, based on your revenue growth =</t>
        </is>
      </c>
      <c r="J34" s="631">
        <f>'Valuation output'!M3</f>
        <v/>
      </c>
    </row>
    <row r="35" ht="24.95" customFormat="1" customHeight="1" s="199">
      <c r="A35" s="381" t="inlineStr">
        <is>
          <t>Initial cost of capital =</t>
        </is>
      </c>
      <c r="B35" s="382">
        <f>'Cost of capital worksheet'!B13</f>
        <v/>
      </c>
      <c r="C35" s="632" t="inlineStr">
        <is>
          <t>Do not input. Go to cost of capital sheet.</t>
        </is>
      </c>
      <c r="D35" s="633" t="n"/>
      <c r="E35" s="219" t="inlineStr">
        <is>
          <t>Pre-tax Operating Income in year 10, based on your operating margin =</t>
        </is>
      </c>
      <c r="J35" s="631">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39">
        <f>'Input sheet'!B11</f>
        <v/>
      </c>
      <c r="C3" s="640">
        <f>B3*(1+C2)</f>
        <v/>
      </c>
      <c r="D3" s="640">
        <f>C3*(1+D2)</f>
        <v/>
      </c>
      <c r="E3" s="640">
        <f>D3*(1+E2)</f>
        <v/>
      </c>
      <c r="F3" s="640">
        <f>E3*(1+F2)</f>
        <v/>
      </c>
      <c r="G3" s="640">
        <f>F3*(1+G2)</f>
        <v/>
      </c>
      <c r="H3" s="640">
        <f>G3*(1+H2)</f>
        <v/>
      </c>
      <c r="I3" s="640">
        <f>H3*(1+I2)</f>
        <v/>
      </c>
      <c r="J3" s="640">
        <f>I3*(1+J2)</f>
        <v/>
      </c>
      <c r="K3" s="640">
        <f>J3*(1+K2)</f>
        <v/>
      </c>
      <c r="L3" s="640">
        <f>K3*(1+L2)</f>
        <v/>
      </c>
      <c r="M3" s="641">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39">
        <f>IF('Input sheet'!B17="Yes",IF('Input sheet'!B16="Yes",'Input sheet'!B12+'Operating lease converter'!F32+'R&amp; D converter'!D39,'Input sheet'!B12+'Operating lease converter'!F32),IF('Input sheet'!B16="Yes",'Input sheet'!B12+'R&amp; D converter'!D39,'Input sheet'!B12))</f>
        <v/>
      </c>
      <c r="C5" s="640">
        <f>C4*C3</f>
        <v/>
      </c>
      <c r="D5" s="640">
        <f>D4*D3</f>
        <v/>
      </c>
      <c r="E5" s="640">
        <f>E4*E3</f>
        <v/>
      </c>
      <c r="F5" s="640">
        <f>F4*F3</f>
        <v/>
      </c>
      <c r="G5" s="640">
        <f>G4*G3</f>
        <v/>
      </c>
      <c r="H5" s="640">
        <f>H4*H3</f>
        <v/>
      </c>
      <c r="I5" s="640">
        <f>I4*I3</f>
        <v/>
      </c>
      <c r="J5" s="640">
        <f>J4*J3</f>
        <v/>
      </c>
      <c r="K5" s="640">
        <f>K4*K3</f>
        <v/>
      </c>
      <c r="L5" s="640">
        <f>L4*L3</f>
        <v/>
      </c>
      <c r="M5" s="641">
        <f>M4*M3</f>
        <v/>
      </c>
      <c r="N5" s="642">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39">
        <f>IF(B5&gt;0,B5*(1-B6),B5)</f>
        <v/>
      </c>
      <c r="C7" s="640">
        <f>IF(C5&gt;0,IF(C5&lt;B10,C5,C5-(C5-B10)*C6),C5)</f>
        <v/>
      </c>
      <c r="D7" s="640">
        <f>IF(D5&gt;0,IF(D5&lt;C10,D5,D5-(D5-C10)*D6),D5)</f>
        <v/>
      </c>
      <c r="E7" s="640">
        <f>IF(E5&gt;0,IF(E5&lt;D10,E5,E5-(E5-D10)*E6),E5)</f>
        <v/>
      </c>
      <c r="F7" s="640">
        <f>IF(F5&gt;0,IF(F5&lt;E10,F5,F5-(F5-E10)*F6),F5)</f>
        <v/>
      </c>
      <c r="G7" s="640">
        <f>IF(G5&gt;0,IF(G5&lt;F10,G5,G5-(G5-F10)*G6),G5)</f>
        <v/>
      </c>
      <c r="H7" s="640">
        <f>IF(H5&gt;0,IF(H5&lt;G10,H5,H5-(H5-G10)*H6),H5)</f>
        <v/>
      </c>
      <c r="I7" s="640">
        <f>IF(I5&gt;0,IF(I5&lt;H10,I5,I5-(I5-H10)*I6),I5)</f>
        <v/>
      </c>
      <c r="J7" s="640">
        <f>IF(J5&gt;0,IF(J5&lt;I10,J5,J5-(J5-I10)*J6),J5)</f>
        <v/>
      </c>
      <c r="K7" s="640">
        <f>IF(K5&gt;0,IF(K5&lt;J10,K5,K5-(K5-J10)*K6),K5)</f>
        <v/>
      </c>
      <c r="L7" s="640">
        <f>IF(L5&gt;0,IF(L5&lt;K10,L5,L5-(L5-K10)*L6),L5)</f>
        <v/>
      </c>
      <c r="M7" s="640">
        <f>M5*(1-M6)</f>
        <v/>
      </c>
    </row>
    <row r="8" ht="15" customHeight="1">
      <c r="A8" s="31" t="inlineStr">
        <is>
          <t xml:space="preserve"> - Reinvestment</t>
        </is>
      </c>
      <c r="B8" s="639" t="n"/>
      <c r="C8" s="640">
        <f>IF('Input sheet'!$B$56="No",(D3-C3)/C38,IF('Input sheet'!$B$57=0,(C3-B3)/C38,IF('Input sheet'!$B$57=2,(E3-D3)/C38,IF('Input sheet'!$B$57=3,(F3-E3)/C38,(D3-C3)/C38))))</f>
        <v/>
      </c>
      <c r="D8" s="640">
        <f>IF('Input sheet'!$B$56="No",(E3-D3)/D38,IF('Input sheet'!$B$57=0,(D3-C3)/D38,IF('Input sheet'!$B$57=2,(F3-E3)/D38,IF('Input sheet'!$B$57=3,(G3-F3)/D38,(E3-D3)/D38))))</f>
        <v/>
      </c>
      <c r="E8" s="640">
        <f>IF('Input sheet'!$B$56="No",(F3-E3)/E38,IF('Input sheet'!$B$57=0,(E3-D3)/E38,IF('Input sheet'!$B$57=2,(G3-F3)/E38,IF('Input sheet'!$B$57=3,(H3-G3)/E38,(F3-E3)/E38))))</f>
        <v/>
      </c>
      <c r="F8" s="640">
        <f>IF('Input sheet'!$B$56="No",(G3-F3)/F38,IF('Input sheet'!$B$57=0,(F3-E3)/F38,IF('Input sheet'!$B$57=2,(H3-G3)/F38,IF('Input sheet'!$B$57=3,(I3-H3)/F38,(G3-F3)/F38))))</f>
        <v/>
      </c>
      <c r="G8" s="640">
        <f>IF('Input sheet'!$B$56="No",(H3-G3)/G38,IF('Input sheet'!$B$57=0,(G3-F3)/G38,IF('Input sheet'!$B$57=2,(I3-H3)/G38,IF('Input sheet'!$B$57=3,(J3-I3)/G38,(H3-G3)/G38))))</f>
        <v/>
      </c>
      <c r="H8" s="640">
        <f>IF('Input sheet'!$B$56="No",(I3-H3)/H38,IF('Input sheet'!$B$57=0,(H3-G3)/H38,IF('Input sheet'!$B$57=2,(J3-I3)/H38,IF('Input sheet'!$B$57=3,(K3-J3)/H38,(I3-H3)/H38))))</f>
        <v/>
      </c>
      <c r="I8" s="640">
        <f>IF('Input sheet'!$B$56="No",(J3-I3)/I38,IF('Input sheet'!$B$57=0,(I3-H3)/I38,IF('Input sheet'!$B$57=2,(K3-J3)/I38,IF('Input sheet'!$B$57=3,(L3-K3)/I38,(J3-I3)/I38))))</f>
        <v/>
      </c>
      <c r="J8" s="640">
        <f>IF('Input sheet'!$B$56="No",(K3-J3)/J38,IF('Input sheet'!$B$57=0,(J3-I3)/J38,IF('Input sheet'!$B$57=2,(L3-K3)/J38,IF('Input sheet'!$B$57=3,(M3-L3)/J38,(K3-J3)/J38))))</f>
        <v/>
      </c>
      <c r="K8" s="640">
        <f>IF('Input sheet'!$B$56="No",(L3-K3)/K38,IF('Input sheet'!$B$57=0,(K3-J3)/K38,IF('Input sheet'!$B$57=2,L3*L2/K38,IF('Input sheet'!$B$57=3,M3*M2/K38,(L3-K3)/K38))))</f>
        <v/>
      </c>
      <c r="L8" s="640">
        <f>IF('Input sheet'!$B$56="No",(M3-L3)/L38,IF('Input sheet'!$B$57=0,(L3-K3)/L38,IF('Input sheet'!$B$57=2,M3*M2/L38,IF('Input sheet'!$B$57=3,K8*(1+M2),(M3-L3)/L38))))</f>
        <v/>
      </c>
      <c r="M8" s="643">
        <f>IF(M2&gt;0,(M2/M40)*M7,0)</f>
        <v/>
      </c>
      <c r="N8" s="642">
        <f>SUM(C8:M8)</f>
        <v/>
      </c>
    </row>
    <row r="9" ht="15" customHeight="1">
      <c r="A9" s="31" t="inlineStr">
        <is>
          <t>FCFF</t>
        </is>
      </c>
      <c r="B9" s="639" t="n"/>
      <c r="C9" s="640">
        <f>C7-C8</f>
        <v/>
      </c>
      <c r="D9" s="640">
        <f>D7-D8</f>
        <v/>
      </c>
      <c r="E9" s="640">
        <f>E7-E8</f>
        <v/>
      </c>
      <c r="F9" s="640">
        <f>F7-F8</f>
        <v/>
      </c>
      <c r="G9" s="640">
        <f>G7-G8</f>
        <v/>
      </c>
      <c r="H9" s="640">
        <f>H7-H8</f>
        <v/>
      </c>
      <c r="I9" s="640">
        <f>I7-I8</f>
        <v/>
      </c>
      <c r="J9" s="640">
        <f>J7-J8</f>
        <v/>
      </c>
      <c r="K9" s="640">
        <f>K7-K8</f>
        <v/>
      </c>
      <c r="L9" s="640">
        <f>L7-L8</f>
        <v/>
      </c>
      <c r="M9" s="643">
        <f>M7-M8</f>
        <v/>
      </c>
    </row>
    <row r="10" ht="15" customHeight="1">
      <c r="A10" s="31" t="inlineStr">
        <is>
          <t>NOL</t>
        </is>
      </c>
      <c r="B10" s="639">
        <f>IF('Input sheet'!B61="Yes",'Input sheet'!B62,0)</f>
        <v/>
      </c>
      <c r="C10" s="640">
        <f>IF(C5&lt;0,B10-C5,IF(B10&gt;C5,B10-C5,0))</f>
        <v/>
      </c>
      <c r="D10" s="640">
        <f>IF(D5&lt;0,C10-D5,IF(C10&gt;D5,C10-D5,0))</f>
        <v/>
      </c>
      <c r="E10" s="640">
        <f>IF(E5&lt;0,D10-E5,IF(D10&gt;E5,D10-E5,0))</f>
        <v/>
      </c>
      <c r="F10" s="640">
        <f>IF(F5&lt;0,E10-F5,IF(E10&gt;F5,E10-F5,0))</f>
        <v/>
      </c>
      <c r="G10" s="640">
        <f>IF(G5&lt;0,F10-G5,IF(F10&gt;G5,F10-G5,0))</f>
        <v/>
      </c>
      <c r="H10" s="640">
        <f>IF(H5&lt;0,G10-H5,IF(G10&gt;H5,G10-H5,0))</f>
        <v/>
      </c>
      <c r="I10" s="640">
        <f>IF(I5&lt;0,H10-I5,IF(H10&gt;I5,H10-I5,0))</f>
        <v/>
      </c>
      <c r="J10" s="640">
        <f>IF(J5&lt;0,I10-J5,IF(I10&gt;J5,I10-J5,0))</f>
        <v/>
      </c>
      <c r="K10" s="640">
        <f>IF(K5&lt;0,J10-K5,IF(J10&gt;K5,J10-K5,0))</f>
        <v/>
      </c>
      <c r="L10" s="640">
        <f>IF(L5&lt;0,K10-L5,IF(K10&gt;L5,K10-L5,0))</f>
        <v/>
      </c>
      <c r="M10" s="640">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4">
        <f>1/(1+C12)</f>
        <v/>
      </c>
      <c r="D13" s="644">
        <f>C13*(1/(1+D12))</f>
        <v/>
      </c>
      <c r="E13" s="644">
        <f>D13*(1/(1+E12))</f>
        <v/>
      </c>
      <c r="F13" s="644">
        <f>E13*(1/(1+F12))</f>
        <v/>
      </c>
      <c r="G13" s="644">
        <f>F13*(1/(1+G12))</f>
        <v/>
      </c>
      <c r="H13" s="644">
        <f>G13*(1/(1+H12))</f>
        <v/>
      </c>
      <c r="I13" s="644">
        <f>H13*(1/(1+I12))</f>
        <v/>
      </c>
      <c r="J13" s="644">
        <f>I13*(1/(1+J12))</f>
        <v/>
      </c>
      <c r="K13" s="644">
        <f>J13*(1/(1+K12))</f>
        <v/>
      </c>
      <c r="L13" s="644">
        <f>K13*(1/(1+L12))</f>
        <v/>
      </c>
      <c r="M13" s="49" t="n"/>
    </row>
    <row r="14" ht="15" customHeight="1">
      <c r="A14" s="31" t="inlineStr">
        <is>
          <t>PV(FCFF)</t>
        </is>
      </c>
      <c r="B14" s="40" t="n"/>
      <c r="C14" s="640">
        <f>C9*C13</f>
        <v/>
      </c>
      <c r="D14" s="640">
        <f>D9*D13</f>
        <v/>
      </c>
      <c r="E14" s="640">
        <f>E9*E13</f>
        <v/>
      </c>
      <c r="F14" s="640">
        <f>F9*F13</f>
        <v/>
      </c>
      <c r="G14" s="640">
        <f>G9*G13</f>
        <v/>
      </c>
      <c r="H14" s="640">
        <f>H9*H13</f>
        <v/>
      </c>
      <c r="I14" s="640">
        <f>I9*I13</f>
        <v/>
      </c>
      <c r="J14" s="640">
        <f>J9*J13</f>
        <v/>
      </c>
      <c r="K14" s="640">
        <f>K9*K13</f>
        <v/>
      </c>
      <c r="L14" s="640">
        <f>L9*L13</f>
        <v/>
      </c>
      <c r="M14" s="49" t="n"/>
    </row>
    <row r="15" ht="15" customHeight="1"/>
    <row r="16" ht="15" customHeight="1">
      <c r="A16" s="30" t="inlineStr">
        <is>
          <t>Terminal cash flow</t>
        </is>
      </c>
      <c r="B16" s="639">
        <f>M9</f>
        <v/>
      </c>
    </row>
    <row r="17" ht="15" customHeight="1">
      <c r="A17" s="30" t="inlineStr">
        <is>
          <t>Terminal cost of capital</t>
        </is>
      </c>
      <c r="B17" s="45">
        <f>M12</f>
        <v/>
      </c>
      <c r="D17" s="645" t="n"/>
    </row>
    <row r="18">
      <c r="A18" s="30" t="inlineStr">
        <is>
          <t>Terminal value</t>
        </is>
      </c>
      <c r="B18" s="639">
        <f>B16/(B17-M2)</f>
        <v/>
      </c>
      <c r="D18" s="646" t="n"/>
      <c r="M18" s="645" t="n"/>
    </row>
    <row r="19">
      <c r="A19" s="30" t="inlineStr">
        <is>
          <t>PV(Terminal value)</t>
        </is>
      </c>
      <c r="B19" s="647">
        <f>B18*L13</f>
        <v/>
      </c>
      <c r="D19" s="645" t="n"/>
    </row>
    <row r="20">
      <c r="A20" s="30" t="inlineStr">
        <is>
          <t>PV (CF over next 10 years)</t>
        </is>
      </c>
      <c r="B20" s="647">
        <f>SUM(C14:L14)</f>
        <v/>
      </c>
    </row>
    <row r="21">
      <c r="A21" s="30" t="inlineStr">
        <is>
          <t>Sum of PV</t>
        </is>
      </c>
      <c r="B21" s="647">
        <f>B19+B20</f>
        <v/>
      </c>
    </row>
    <row r="22">
      <c r="A22" s="30" t="inlineStr">
        <is>
          <t>Probability of failure =</t>
        </is>
      </c>
      <c r="B22" s="51">
        <f>IF('Input sheet'!B51="Yes",'Input sheet'!B52,0)</f>
        <v/>
      </c>
      <c r="E22" s="645" t="n"/>
    </row>
    <row r="23">
      <c r="A23" s="30" t="inlineStr">
        <is>
          <t>Proceeds if firm fails =</t>
        </is>
      </c>
      <c r="B23" s="648">
        <f>IF('Input sheet'!B53="B",('Input sheet'!B14+'Input sheet'!B15)*'Input sheet'!B54,'Valuation output'!B21*'Input sheet'!B54)</f>
        <v/>
      </c>
    </row>
    <row r="24">
      <c r="A24" s="30" t="inlineStr">
        <is>
          <t>Value of operating assets =</t>
        </is>
      </c>
      <c r="B24" s="639">
        <f>B21*(1-B22)+B23*B22</f>
        <v/>
      </c>
    </row>
    <row r="25">
      <c r="A25" s="30" t="inlineStr">
        <is>
          <t xml:space="preserve"> - Debt</t>
        </is>
      </c>
      <c r="B25" s="639">
        <f>IF('Input sheet'!B17="Yes",'Input sheet'!B15+'Operating lease converter'!C28,'Input sheet'!B15)</f>
        <v/>
      </c>
    </row>
    <row r="26">
      <c r="A26" s="30" t="inlineStr">
        <is>
          <t xml:space="preserve"> - Minority interests</t>
        </is>
      </c>
      <c r="B26" s="639">
        <f>'Input sheet'!B20</f>
        <v/>
      </c>
    </row>
    <row r="27">
      <c r="A27" s="30" t="inlineStr">
        <is>
          <t xml:space="preserve"> +  Cash</t>
        </is>
      </c>
      <c r="B27" s="639">
        <f>IF('Input sheet'!B70="YES",'Input sheet'!B18-'Input sheet'!B71*('Input sheet'!B24-'Input sheet'!B72),'Input sheet'!B18)</f>
        <v/>
      </c>
    </row>
    <row r="28">
      <c r="A28" s="30" t="inlineStr">
        <is>
          <t xml:space="preserve"> + Non-operating assets</t>
        </is>
      </c>
      <c r="B28" s="639">
        <f>'Input sheet'!B19</f>
        <v/>
      </c>
    </row>
    <row r="29">
      <c r="A29" s="30" t="inlineStr">
        <is>
          <t>Value of equity</t>
        </is>
      </c>
      <c r="B29" s="647">
        <f>B24-B25-B26+B27+B28</f>
        <v/>
      </c>
    </row>
    <row r="30">
      <c r="A30" s="30" t="inlineStr">
        <is>
          <t xml:space="preserve"> - Value of options</t>
        </is>
      </c>
      <c r="B30" s="53">
        <f>IF('Input sheet'!B37="No",0,'Option value'!B29)</f>
        <v/>
      </c>
    </row>
    <row r="31">
      <c r="A31" s="30" t="inlineStr">
        <is>
          <t>Value of equity in common stock</t>
        </is>
      </c>
      <c r="B31" s="647">
        <f>B29-B30</f>
        <v/>
      </c>
    </row>
    <row r="32">
      <c r="A32" s="30" t="inlineStr">
        <is>
          <t>Number of shares</t>
        </is>
      </c>
      <c r="B32" s="649">
        <f>'Input sheet'!B21</f>
        <v/>
      </c>
    </row>
    <row r="33">
      <c r="A33" s="30" t="inlineStr">
        <is>
          <t>Estimated value /share</t>
        </is>
      </c>
      <c r="B33" s="650">
        <f>B31/B32</f>
        <v/>
      </c>
    </row>
    <row r="34">
      <c r="A34" s="30" t="inlineStr">
        <is>
          <t>Price</t>
        </is>
      </c>
      <c r="B34" s="639">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1">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2">
        <f>B39+C8</f>
        <v/>
      </c>
      <c r="D39" s="652">
        <f>C39+D8</f>
        <v/>
      </c>
      <c r="E39" s="652">
        <f>D39+E8</f>
        <v/>
      </c>
      <c r="F39" s="652">
        <f>E39+F8</f>
        <v/>
      </c>
      <c r="G39" s="652">
        <f>F39+G8</f>
        <v/>
      </c>
      <c r="H39" s="652">
        <f>G39+H8</f>
        <v/>
      </c>
      <c r="I39" s="652">
        <f>H39+I8</f>
        <v/>
      </c>
      <c r="J39" s="652">
        <f>I39+J8</f>
        <v/>
      </c>
      <c r="K39" s="652">
        <f>J39+K8</f>
        <v/>
      </c>
      <c r="L39" s="652">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f>'Input sheet'!B4</f>
        <v/>
      </c>
      <c r="B1" s="625" t="n"/>
      <c r="C1" s="625" t="n"/>
      <c r="D1" s="625" t="n"/>
      <c r="E1" s="625" t="n"/>
      <c r="F1" s="626" t="n"/>
      <c r="G1" s="157">
        <f>'Input sheet'!B3</f>
        <v/>
      </c>
    </row>
    <row r="2">
      <c r="A2" s="527" t="inlineStr">
        <is>
          <t>The Greatest Cah Machine in History!</t>
        </is>
      </c>
      <c r="B2" s="625" t="n"/>
      <c r="C2" s="625" t="n"/>
      <c r="D2" s="625" t="n"/>
      <c r="E2" s="625" t="n"/>
      <c r="F2" s="625" t="n"/>
      <c r="G2" s="626" t="n"/>
    </row>
    <row r="3" ht="15.95" customHeight="1">
      <c r="A3" s="654" t="inlineStr">
        <is>
          <t>Apple remains a company centered on smartphones, and facing slower growth in that market, the company has been building up  its services business. That growth will continue, and its profitability will improve margins. Apple's cash balance will keept its cost of captial at close to the median for the US market.</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f>'Valuation output'!B3</f>
        <v/>
      </c>
      <c r="C9" s="665">
        <f>'Input sheet'!B26</f>
        <v/>
      </c>
      <c r="D9" s="160">
        <f>'Input sheet'!B28</f>
        <v/>
      </c>
      <c r="E9" s="160" t="inlineStr">
        <is>
          <t>Changes to</t>
        </is>
      </c>
      <c r="F9" s="119">
        <f>'Valuation output'!M2</f>
        <v/>
      </c>
      <c r="G9" s="258" t="inlineStr">
        <is>
          <t>Growth from services &amp; other businesses</t>
        </is>
      </c>
      <c r="H9" s="666" t="inlineStr">
        <is>
          <t>Tie each assumption to the part of your story that relates to it.</t>
        </is>
      </c>
      <c r="I9" s="655" t="n"/>
      <c r="J9" s="655" t="n"/>
      <c r="K9" s="656" t="n"/>
    </row>
    <row r="10" ht="51" customHeight="1">
      <c r="A10" s="118" t="inlineStr">
        <is>
          <t>Operating margin (b)</t>
        </is>
      </c>
      <c r="B10" s="119">
        <f>'Valuation output'!B4</f>
        <v/>
      </c>
      <c r="C10" s="665">
        <f>'Input sheet'!B27</f>
        <v/>
      </c>
      <c r="D10" s="161" t="inlineStr">
        <is>
          <t>Moves to</t>
        </is>
      </c>
      <c r="E10" s="162">
        <f>'Valuation output'!G4</f>
        <v/>
      </c>
      <c r="F10" s="119">
        <f>'Valuation output'!M4</f>
        <v/>
      </c>
      <c r="G10" s="259" t="inlineStr">
        <is>
          <t>High margins on smartphones &amp; electronics, supplemented by service business profits.</t>
        </is>
      </c>
      <c r="H10" s="658" t="n"/>
      <c r="K10" s="659" t="n"/>
    </row>
    <row r="11">
      <c r="A11" s="118" t="inlineStr">
        <is>
          <t>Tax rate</t>
        </is>
      </c>
      <c r="B11" s="119">
        <f>'Valuation output'!B6</f>
        <v/>
      </c>
      <c r="C11" s="454" t="n"/>
      <c r="D11" s="160">
        <f>B11</f>
        <v/>
      </c>
      <c r="E11" s="160" t="inlineStr">
        <is>
          <t>Changes to</t>
        </is>
      </c>
      <c r="F11" s="119">
        <f>'Valuation output'!M6</f>
        <v/>
      </c>
      <c r="G11" s="260" t="inlineStr">
        <is>
          <t>Global/US marginal tax rate over time</t>
        </is>
      </c>
      <c r="H11" s="658" t="n"/>
      <c r="K11" s="659" t="n"/>
    </row>
    <row r="12" ht="33.95" customHeight="1">
      <c r="A12" s="118" t="inlineStr">
        <is>
          <t>Sales to Capital  (c )</t>
        </is>
      </c>
      <c r="B12" s="120" t="n"/>
      <c r="C12" s="455">
        <f>'Input sheet'!B31</f>
        <v/>
      </c>
      <c r="D12" s="159">
        <f>'Input sheet'!B31</f>
        <v/>
      </c>
      <c r="E12" s="158">
        <f>'Input sheet'!B32</f>
        <v/>
      </c>
      <c r="F12" s="121">
        <f>'Valuation output'!M2/'Valuation output'!M40</f>
        <v/>
      </c>
      <c r="G12" s="259" t="inlineStr">
        <is>
          <t>Low capital intensity business allows for growth with little reinvestment.</t>
        </is>
      </c>
      <c r="H12" s="658" t="n"/>
      <c r="K12" s="659" t="n"/>
    </row>
    <row r="13">
      <c r="A13" s="135" t="inlineStr">
        <is>
          <t>Return on capital</t>
        </is>
      </c>
      <c r="B13" s="137">
        <f>'Valuation output'!B40</f>
        <v/>
      </c>
      <c r="C13" s="119" t="inlineStr">
        <is>
          <t>Marginal ROIC =</t>
        </is>
      </c>
      <c r="D13" s="667">
        <f>Diagnostics!C27</f>
        <v/>
      </c>
      <c r="E13" s="626" t="n"/>
      <c r="F13" s="136">
        <f>'Valuation output'!M40</f>
        <v/>
      </c>
      <c r="G13" s="261" t="inlineStr">
        <is>
          <t>Strong competitive edges</t>
        </is>
      </c>
      <c r="H13" s="658" t="n"/>
      <c r="K13" s="659"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f>'Valuation output'!C3</f>
        <v/>
      </c>
      <c r="C17" s="125">
        <f>'Valuation output'!C4</f>
        <v/>
      </c>
      <c r="D17" s="664">
        <f>B17*C17</f>
        <v/>
      </c>
      <c r="E17" s="664">
        <f>'Valuation output'!C7</f>
        <v/>
      </c>
      <c r="F17" s="664">
        <f>'Valuation output'!C8</f>
        <v/>
      </c>
      <c r="G17" s="671">
        <f>E17-F17</f>
        <v/>
      </c>
      <c r="H17" s="658" t="n"/>
      <c r="K17" s="659" t="n"/>
    </row>
    <row r="18">
      <c r="A18" s="124" t="n">
        <v>2</v>
      </c>
      <c r="B18" s="664">
        <f>'Valuation output'!D3</f>
        <v/>
      </c>
      <c r="C18" s="125">
        <f>'Valuation output'!D4</f>
        <v/>
      </c>
      <c r="D18" s="664">
        <f>B18*C18</f>
        <v/>
      </c>
      <c r="E18" s="664">
        <f>'Valuation output'!D7</f>
        <v/>
      </c>
      <c r="F18" s="664">
        <f>'Valuation output'!D8</f>
        <v/>
      </c>
      <c r="G18" s="671">
        <f>E18-F18</f>
        <v/>
      </c>
      <c r="H18" s="658" t="n"/>
      <c r="K18" s="659" t="n"/>
    </row>
    <row r="19">
      <c r="A19" s="124" t="n">
        <v>3</v>
      </c>
      <c r="B19" s="664">
        <f>'Valuation output'!E3</f>
        <v/>
      </c>
      <c r="C19" s="125">
        <f>'Valuation output'!E4</f>
        <v/>
      </c>
      <c r="D19" s="664">
        <f>B19*C19</f>
        <v/>
      </c>
      <c r="E19" s="664">
        <f>'Valuation output'!E7</f>
        <v/>
      </c>
      <c r="F19" s="664">
        <f>'Valuation output'!E8</f>
        <v/>
      </c>
      <c r="G19" s="671">
        <f>E19-F19</f>
        <v/>
      </c>
      <c r="H19" s="658" t="n"/>
      <c r="K19" s="659" t="n"/>
    </row>
    <row r="20">
      <c r="A20" s="124" t="n">
        <v>4</v>
      </c>
      <c r="B20" s="664">
        <f>'Valuation output'!F3</f>
        <v/>
      </c>
      <c r="C20" s="125">
        <f>'Valuation output'!F4</f>
        <v/>
      </c>
      <c r="D20" s="664">
        <f>B20*C20</f>
        <v/>
      </c>
      <c r="E20" s="664">
        <f>'Valuation output'!F7</f>
        <v/>
      </c>
      <c r="F20" s="664">
        <f>'Valuation output'!F8</f>
        <v/>
      </c>
      <c r="G20" s="671">
        <f>E20-F20</f>
        <v/>
      </c>
      <c r="H20" s="658" t="n"/>
      <c r="K20" s="659" t="n"/>
    </row>
    <row r="21">
      <c r="A21" s="124" t="n">
        <v>5</v>
      </c>
      <c r="B21" s="664">
        <f>'Valuation output'!G3</f>
        <v/>
      </c>
      <c r="C21" s="125">
        <f>'Valuation output'!G4</f>
        <v/>
      </c>
      <c r="D21" s="664">
        <f>B21*C21</f>
        <v/>
      </c>
      <c r="E21" s="664">
        <f>'Valuation output'!G7</f>
        <v/>
      </c>
      <c r="F21" s="664">
        <f>'Valuation output'!G8</f>
        <v/>
      </c>
      <c r="G21" s="671">
        <f>E21-F21</f>
        <v/>
      </c>
      <c r="H21" s="658" t="n"/>
      <c r="K21" s="659" t="n"/>
    </row>
    <row r="22">
      <c r="A22" s="124" t="n">
        <v>6</v>
      </c>
      <c r="B22" s="664">
        <f>'Valuation output'!H3</f>
        <v/>
      </c>
      <c r="C22" s="125">
        <f>'Valuation output'!H4</f>
        <v/>
      </c>
      <c r="D22" s="664">
        <f>B22*C22</f>
        <v/>
      </c>
      <c r="E22" s="664">
        <f>'Valuation output'!H7</f>
        <v/>
      </c>
      <c r="F22" s="664">
        <f>'Valuation output'!H8</f>
        <v/>
      </c>
      <c r="G22" s="671">
        <f>E22-F22</f>
        <v/>
      </c>
      <c r="H22" s="658" t="n"/>
      <c r="K22" s="659" t="n"/>
    </row>
    <row r="23">
      <c r="A23" s="124" t="n">
        <v>7</v>
      </c>
      <c r="B23" s="664">
        <f>'Valuation output'!I3</f>
        <v/>
      </c>
      <c r="C23" s="125">
        <f>'Valuation output'!I4</f>
        <v/>
      </c>
      <c r="D23" s="664">
        <f>B23*C23</f>
        <v/>
      </c>
      <c r="E23" s="664">
        <f>'Valuation output'!I7</f>
        <v/>
      </c>
      <c r="F23" s="664">
        <f>'Valuation output'!I8</f>
        <v/>
      </c>
      <c r="G23" s="671">
        <f>E23-F23</f>
        <v/>
      </c>
      <c r="H23" s="658" t="n"/>
      <c r="K23" s="659" t="n"/>
    </row>
    <row r="24">
      <c r="A24" s="124" t="n">
        <v>8</v>
      </c>
      <c r="B24" s="664">
        <f>'Valuation output'!J3</f>
        <v/>
      </c>
      <c r="C24" s="125">
        <f>'Valuation output'!J4</f>
        <v/>
      </c>
      <c r="D24" s="664">
        <f>B24*C24</f>
        <v/>
      </c>
      <c r="E24" s="664">
        <f>'Valuation output'!J7</f>
        <v/>
      </c>
      <c r="F24" s="664">
        <f>'Valuation output'!J8</f>
        <v/>
      </c>
      <c r="G24" s="671">
        <f>E24-F24</f>
        <v/>
      </c>
      <c r="H24" s="658" t="n"/>
      <c r="K24" s="659" t="n"/>
    </row>
    <row r="25">
      <c r="A25" s="124" t="n">
        <v>9</v>
      </c>
      <c r="B25" s="664">
        <f>'Valuation output'!K3</f>
        <v/>
      </c>
      <c r="C25" s="125">
        <f>'Valuation output'!K4</f>
        <v/>
      </c>
      <c r="D25" s="664">
        <f>B25*C25</f>
        <v/>
      </c>
      <c r="E25" s="664">
        <f>'Valuation output'!K7</f>
        <v/>
      </c>
      <c r="F25" s="664">
        <f>'Valuation output'!K8</f>
        <v/>
      </c>
      <c r="G25" s="671">
        <f>E25-F25</f>
        <v/>
      </c>
      <c r="H25" s="658" t="n"/>
      <c r="K25" s="659" t="n"/>
    </row>
    <row r="26">
      <c r="A26" s="124" t="n">
        <v>10</v>
      </c>
      <c r="B26" s="664">
        <f>'Valuation output'!L3</f>
        <v/>
      </c>
      <c r="C26" s="125">
        <f>'Valuation output'!L4</f>
        <v/>
      </c>
      <c r="D26" s="664">
        <f>B26*C26</f>
        <v/>
      </c>
      <c r="E26" s="664">
        <f>'Valuation output'!L7</f>
        <v/>
      </c>
      <c r="F26" s="664">
        <f>'Valuation output'!L8</f>
        <v/>
      </c>
      <c r="G26" s="671">
        <f>E26-F26</f>
        <v/>
      </c>
      <c r="H26" s="658" t="n"/>
      <c r="K26" s="659" t="n"/>
    </row>
    <row r="27" ht="17.1" customHeight="1" thickBot="1">
      <c r="A27" s="126" t="inlineStr">
        <is>
          <t>Terminal year</t>
        </is>
      </c>
      <c r="B27" s="672">
        <f>'Valuation output'!M3</f>
        <v/>
      </c>
      <c r="C27" s="127">
        <f>'Valuation output'!M4</f>
        <v/>
      </c>
      <c r="D27" s="664">
        <f>B27*C27</f>
        <v/>
      </c>
      <c r="E27" s="672">
        <f>'Valuation output'!M7</f>
        <v/>
      </c>
      <c r="F27" s="672">
        <f>'Valuation output'!M8</f>
        <v/>
      </c>
      <c r="G27" s="671">
        <f>E27-F27</f>
        <v/>
      </c>
      <c r="H27" s="660" t="n"/>
      <c r="I27" s="661" t="n"/>
      <c r="J27" s="661" t="n"/>
      <c r="K27" s="662" t="n"/>
    </row>
    <row r="28" ht="17.1" customHeight="1" thickBot="1">
      <c r="A28" s="531" t="inlineStr">
        <is>
          <t>The Value</t>
        </is>
      </c>
      <c r="G28" s="659" t="n"/>
    </row>
    <row r="29">
      <c r="A29" s="673" t="inlineStr">
        <is>
          <t>Terminal value</t>
        </is>
      </c>
      <c r="B29" s="674" t="n"/>
      <c r="C29" s="675" t="n"/>
      <c r="D29" s="676">
        <f>'Valuation output'!B18</f>
        <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f>'Valuation output'!B19</f>
        <v/>
      </c>
      <c r="E30" s="679" t="n"/>
      <c r="F30" s="132" t="n"/>
      <c r="G30" s="133" t="n"/>
      <c r="H30" s="680" t="n"/>
    </row>
    <row r="31">
      <c r="A31" s="478" t="inlineStr">
        <is>
          <t>PV (CF over next 10 years)</t>
        </is>
      </c>
      <c r="B31" s="625" t="n"/>
      <c r="C31" s="626" t="n"/>
      <c r="D31" s="678">
        <f>'Valuation output'!B20</f>
        <v/>
      </c>
      <c r="E31" s="679" t="n"/>
      <c r="F31" s="132" t="n"/>
      <c r="G31" s="133" t="n"/>
      <c r="H31" s="680" t="n"/>
    </row>
    <row r="32">
      <c r="A32" s="478" t="inlineStr">
        <is>
          <t>Value of operating assets =</t>
        </is>
      </c>
      <c r="B32" s="625" t="n"/>
      <c r="C32" s="626" t="n"/>
      <c r="D32" s="678">
        <f>'Valuation output'!B21</f>
        <v/>
      </c>
      <c r="E32" s="679" t="n"/>
      <c r="F32" s="132" t="n"/>
      <c r="G32" s="133" t="n"/>
      <c r="H32" s="680" t="n"/>
    </row>
    <row r="33">
      <c r="A33" s="478" t="inlineStr">
        <is>
          <t>Adjustment for distress</t>
        </is>
      </c>
      <c r="B33" s="625" t="n"/>
      <c r="C33" s="626" t="n"/>
      <c r="D33" s="681">
        <f>D32-'Valuation output'!B24</f>
        <v/>
      </c>
      <c r="E33" s="682" t="inlineStr">
        <is>
          <t>Probability of failure =</t>
        </is>
      </c>
      <c r="F33" s="625" t="n"/>
      <c r="G33" s="441">
        <f>'Valuation output'!B22</f>
        <v/>
      </c>
      <c r="H33" s="680" t="n"/>
    </row>
    <row r="34">
      <c r="A34" s="478" t="inlineStr">
        <is>
          <t xml:space="preserve"> - Debt &amp; Minority Interests</t>
        </is>
      </c>
      <c r="B34" s="625" t="n"/>
      <c r="C34" s="626" t="n"/>
      <c r="D34" s="678">
        <f>'Valuation output'!B25+'Valuation output'!B26</f>
        <v/>
      </c>
      <c r="E34" s="679" t="n"/>
      <c r="F34" s="132" t="n"/>
      <c r="G34" s="133" t="n"/>
      <c r="H34" s="680" t="n"/>
    </row>
    <row r="35">
      <c r="A35" s="478" t="inlineStr">
        <is>
          <t xml:space="preserve"> + Cash &amp; Other Non-operating assets</t>
        </is>
      </c>
      <c r="B35" s="625" t="n"/>
      <c r="C35" s="626" t="n"/>
      <c r="D35" s="678">
        <f>'Valuation output'!B27+'Valuation output'!B28</f>
        <v/>
      </c>
      <c r="E35" s="679" t="n"/>
      <c r="F35" s="132" t="n"/>
      <c r="G35" s="133" t="n"/>
      <c r="H35" s="680" t="n"/>
    </row>
    <row r="36">
      <c r="A36" s="478" t="inlineStr">
        <is>
          <t>Value of equity</t>
        </is>
      </c>
      <c r="B36" s="625" t="n"/>
      <c r="C36" s="626" t="n"/>
      <c r="D36" s="678">
        <f>D32-D33-D34+D35</f>
        <v/>
      </c>
      <c r="E36" s="679" t="n"/>
      <c r="F36" s="132" t="n"/>
      <c r="G36" s="133" t="n"/>
      <c r="H36" s="680" t="n"/>
    </row>
    <row r="37">
      <c r="A37" s="478" t="inlineStr">
        <is>
          <t xml:space="preserve"> - Value of equity options</t>
        </is>
      </c>
      <c r="B37" s="625" t="n"/>
      <c r="C37" s="626" t="n"/>
      <c r="D37" s="678">
        <f>'Valuation output'!B30</f>
        <v/>
      </c>
      <c r="E37" s="679" t="n"/>
      <c r="F37" s="132" t="n"/>
      <c r="G37" s="133" t="n"/>
      <c r="H37" s="680" t="n"/>
    </row>
    <row r="38" ht="17.1" customHeight="1" thickBot="1">
      <c r="A38" s="478" t="inlineStr">
        <is>
          <t>Number of shares</t>
        </is>
      </c>
      <c r="B38" s="625" t="n"/>
      <c r="C38" s="626" t="n"/>
      <c r="D38" s="683">
        <f>'Valuation output'!B32</f>
        <v/>
      </c>
      <c r="G38" s="133" t="n"/>
      <c r="H38" s="680" t="n"/>
    </row>
    <row r="39" ht="17.1" customHeight="1" thickBot="1">
      <c r="A39" s="532" t="inlineStr">
        <is>
          <t>Value per share</t>
        </is>
      </c>
      <c r="B39" s="684" t="n"/>
      <c r="C39" s="685" t="n"/>
      <c r="D39" s="686">
        <f>(D36-D37)/D38</f>
        <v/>
      </c>
      <c r="E39" s="476" t="inlineStr">
        <is>
          <t>Stock was trading at =</t>
        </is>
      </c>
      <c r="F39" s="619" t="n"/>
      <c r="G39" s="687">
        <f>'Input sheet'!B22</f>
        <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f>'Input sheet'!B4</f>
        <v/>
      </c>
      <c r="B3" s="619" t="n"/>
      <c r="C3" s="619" t="n"/>
      <c r="D3" s="619" t="n"/>
      <c r="E3" s="619" t="n"/>
      <c r="F3" s="619" t="n"/>
      <c r="G3" s="619" t="n"/>
      <c r="H3" s="619" t="n"/>
      <c r="I3" s="619" t="n"/>
      <c r="J3" s="619" t="n"/>
      <c r="K3" s="619" t="n"/>
      <c r="L3" s="619" t="n"/>
      <c r="M3" s="619" t="n"/>
      <c r="N3" s="620" t="n"/>
      <c r="O3" s="690">
        <f>'Input sheet'!B3</f>
        <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f>'Stories to Numbers'!G9</f>
        <v/>
      </c>
      <c r="F6" s="656" t="n"/>
      <c r="H6" s="537">
        <f>'Stories to Numbers'!G10</f>
        <v/>
      </c>
      <c r="I6" s="656" t="n"/>
      <c r="K6" s="537">
        <f>'Stories to Numbers'!G12</f>
        <v/>
      </c>
      <c r="L6" s="656" t="n"/>
      <c r="O6" s="552" t="inlineStr">
        <is>
          <t>Terminal Value</t>
        </is>
      </c>
      <c r="P6" s="626" t="n"/>
    </row>
    <row r="7">
      <c r="A7" s="398" t="inlineStr">
        <is>
          <t>Revenue Growth</t>
        </is>
      </c>
      <c r="B7" s="400">
        <f>'Input sheet'!I25</f>
        <v/>
      </c>
      <c r="C7" s="400">
        <f>'Input sheet'!K25</f>
        <v/>
      </c>
      <c r="E7" s="658" t="n"/>
      <c r="F7" s="659" t="n"/>
      <c r="H7" s="658" t="n"/>
      <c r="I7" s="659" t="n"/>
      <c r="K7" s="658" t="n"/>
      <c r="L7" s="659" t="n"/>
      <c r="O7" s="398" t="inlineStr">
        <is>
          <t>Growth Rate</t>
        </is>
      </c>
      <c r="P7" s="400">
        <f>O16</f>
        <v/>
      </c>
    </row>
    <row r="8">
      <c r="A8" s="398" t="inlineStr">
        <is>
          <t>Revenue</t>
        </is>
      </c>
      <c r="B8" s="693">
        <f>'Valuation output'!B3</f>
        <v/>
      </c>
      <c r="E8" s="658" t="n"/>
      <c r="F8" s="659" t="n"/>
      <c r="H8" s="658" t="n"/>
      <c r="I8" s="659" t="n"/>
      <c r="K8" s="658" t="n"/>
      <c r="L8" s="659" t="n"/>
      <c r="O8" s="398" t="inlineStr">
        <is>
          <t>Cost of capital</t>
        </is>
      </c>
      <c r="P8" s="400">
        <f>'Valuation output'!M12</f>
        <v/>
      </c>
    </row>
    <row r="9">
      <c r="A9" s="398" t="inlineStr">
        <is>
          <t>Operating Margin</t>
        </is>
      </c>
      <c r="B9" s="400">
        <f>'Valuation output'!B4</f>
        <v/>
      </c>
      <c r="C9" s="400">
        <f>'Input sheet'!K26</f>
        <v/>
      </c>
      <c r="E9" s="658" t="n"/>
      <c r="F9" s="659" t="n"/>
      <c r="H9" s="658" t="n"/>
      <c r="I9" s="659" t="n"/>
      <c r="K9" s="658" t="n"/>
      <c r="L9" s="659" t="n"/>
      <c r="O9" s="398" t="inlineStr">
        <is>
          <t>Return on capital</t>
        </is>
      </c>
      <c r="P9" s="400">
        <f>'Valuation output'!M40</f>
        <v/>
      </c>
    </row>
    <row r="10">
      <c r="A10" s="398" t="inlineStr">
        <is>
          <t>Operating Income</t>
        </is>
      </c>
      <c r="B10" s="693">
        <f>'Valuation output'!B5</f>
        <v/>
      </c>
      <c r="E10" s="658" t="n"/>
      <c r="F10" s="659" t="n"/>
      <c r="H10" s="658" t="n"/>
      <c r="I10" s="659" t="n"/>
      <c r="K10" s="658" t="n"/>
      <c r="L10" s="659" t="n"/>
      <c r="O10" s="398" t="inlineStr">
        <is>
          <t>Reinvestment Rate</t>
        </is>
      </c>
      <c r="P10" s="400">
        <f>P7/P9</f>
        <v/>
      </c>
    </row>
    <row r="11">
      <c r="A11" s="398" t="inlineStr">
        <is>
          <t>EBIT (1-t)</t>
        </is>
      </c>
      <c r="B11" s="693">
        <f>'Valuation output'!B7</f>
        <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f>'Valuation output'!A19</f>
        <v/>
      </c>
      <c r="B15" s="695">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6">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7">
        <f>'Valuation output'!C3</f>
        <v/>
      </c>
      <c r="F17" s="697">
        <f>'Valuation output'!D3</f>
        <v/>
      </c>
      <c r="G17" s="697">
        <f>'Valuation output'!E3</f>
        <v/>
      </c>
      <c r="H17" s="697">
        <f>'Valuation output'!F3</f>
        <v/>
      </c>
      <c r="I17" s="697">
        <f>'Valuation output'!G3</f>
        <v/>
      </c>
      <c r="J17" s="697">
        <f>'Valuation output'!H3</f>
        <v/>
      </c>
      <c r="K17" s="697">
        <f>'Valuation output'!I3</f>
        <v/>
      </c>
      <c r="L17" s="697">
        <f>'Valuation output'!J3</f>
        <v/>
      </c>
      <c r="M17" s="697">
        <f>'Valuation output'!K3</f>
        <v/>
      </c>
      <c r="N17" s="697">
        <f>'Valuation output'!L3</f>
        <v/>
      </c>
      <c r="O17" s="698">
        <f>'Valuation output'!M3</f>
        <v/>
      </c>
    </row>
    <row r="18">
      <c r="A18" s="413">
        <f>'Valuation output'!A24</f>
        <v/>
      </c>
      <c r="B18" s="699">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699">
        <f>'Valuation output'!B25</f>
        <v/>
      </c>
      <c r="D19" s="398" t="inlineStr">
        <is>
          <t>Operating Income</t>
        </is>
      </c>
      <c r="E19" s="697">
        <f>'Valuation output'!C5</f>
        <v/>
      </c>
      <c r="F19" s="697">
        <f>'Valuation output'!D5</f>
        <v/>
      </c>
      <c r="G19" s="697">
        <f>'Valuation output'!E5</f>
        <v/>
      </c>
      <c r="H19" s="697">
        <f>'Valuation output'!F5</f>
        <v/>
      </c>
      <c r="I19" s="697">
        <f>'Valuation output'!G5</f>
        <v/>
      </c>
      <c r="J19" s="697">
        <f>'Valuation output'!H5</f>
        <v/>
      </c>
      <c r="K19" s="697">
        <f>'Valuation output'!I5</f>
        <v/>
      </c>
      <c r="L19" s="697">
        <f>'Valuation output'!J5</f>
        <v/>
      </c>
      <c r="M19" s="697">
        <f>'Valuation output'!K5</f>
        <v/>
      </c>
      <c r="N19" s="697">
        <f>'Valuation output'!L5</f>
        <v/>
      </c>
      <c r="O19" s="698">
        <f>'Valuation output'!M5</f>
        <v/>
      </c>
    </row>
    <row r="20">
      <c r="A20" s="413">
        <f>'Valuation output'!A26</f>
        <v/>
      </c>
      <c r="B20" s="699">
        <f>'Valuation output'!B26</f>
        <v/>
      </c>
      <c r="D20" s="398" t="inlineStr">
        <is>
          <t>EBIT (1-t)</t>
        </is>
      </c>
      <c r="E20" s="697">
        <f>'Valuation output'!C7</f>
        <v/>
      </c>
      <c r="F20" s="697">
        <f>'Valuation output'!D7</f>
        <v/>
      </c>
      <c r="G20" s="697">
        <f>'Valuation output'!E7</f>
        <v/>
      </c>
      <c r="H20" s="697">
        <f>'Valuation output'!F7</f>
        <v/>
      </c>
      <c r="I20" s="697">
        <f>'Valuation output'!G7</f>
        <v/>
      </c>
      <c r="J20" s="697">
        <f>'Valuation output'!H7</f>
        <v/>
      </c>
      <c r="K20" s="697">
        <f>'Valuation output'!I7</f>
        <v/>
      </c>
      <c r="L20" s="697">
        <f>'Valuation output'!J7</f>
        <v/>
      </c>
      <c r="M20" s="697">
        <f>'Valuation output'!K7</f>
        <v/>
      </c>
      <c r="N20" s="697">
        <f>'Valuation output'!L7</f>
        <v/>
      </c>
      <c r="O20" s="698">
        <f>'Valuation output'!M7</f>
        <v/>
      </c>
    </row>
    <row r="21">
      <c r="A21" s="413">
        <f>'Valuation output'!A27</f>
        <v/>
      </c>
      <c r="B21" s="699">
        <f>'Valuation output'!B27</f>
        <v/>
      </c>
      <c r="D21" s="398" t="inlineStr">
        <is>
          <t>Reinvestment</t>
        </is>
      </c>
      <c r="E21" s="697">
        <f>'Valuation output'!C8</f>
        <v/>
      </c>
      <c r="F21" s="697">
        <f>'Valuation output'!D8</f>
        <v/>
      </c>
      <c r="G21" s="697">
        <f>'Valuation output'!E8</f>
        <v/>
      </c>
      <c r="H21" s="697">
        <f>'Valuation output'!F8</f>
        <v/>
      </c>
      <c r="I21" s="697">
        <f>'Valuation output'!G8</f>
        <v/>
      </c>
      <c r="J21" s="697">
        <f>'Valuation output'!H8</f>
        <v/>
      </c>
      <c r="K21" s="697">
        <f>'Valuation output'!I8</f>
        <v/>
      </c>
      <c r="L21" s="697">
        <f>'Valuation output'!J8</f>
        <v/>
      </c>
      <c r="M21" s="697">
        <f>'Valuation output'!K8</f>
        <v/>
      </c>
      <c r="N21" s="697">
        <f>'Valuation output'!L8</f>
        <v/>
      </c>
      <c r="O21" s="698">
        <f>'Valuation output'!M8</f>
        <v/>
      </c>
    </row>
    <row r="22">
      <c r="A22" s="413">
        <f>'Valuation output'!A28</f>
        <v/>
      </c>
      <c r="B22" s="699">
        <f>'Valuation output'!B28</f>
        <v/>
      </c>
      <c r="D22" s="399" t="inlineStr">
        <is>
          <t>FCFF</t>
        </is>
      </c>
      <c r="E22" s="698">
        <f>'Valuation output'!C9</f>
        <v/>
      </c>
      <c r="F22" s="698">
        <f>'Valuation output'!D9</f>
        <v/>
      </c>
      <c r="G22" s="698">
        <f>'Valuation output'!E9</f>
        <v/>
      </c>
      <c r="H22" s="698">
        <f>'Valuation output'!F9</f>
        <v/>
      </c>
      <c r="I22" s="698">
        <f>'Valuation output'!G9</f>
        <v/>
      </c>
      <c r="J22" s="698">
        <f>'Valuation output'!H9</f>
        <v/>
      </c>
      <c r="K22" s="698">
        <f>'Valuation output'!I9</f>
        <v/>
      </c>
      <c r="L22" s="698">
        <f>'Valuation output'!J9</f>
        <v/>
      </c>
      <c r="M22" s="698">
        <f>'Valuation output'!K9</f>
        <v/>
      </c>
      <c r="N22" s="698">
        <f>'Valuation output'!L9</f>
        <v/>
      </c>
      <c r="O22" s="698">
        <f>'Valuation output'!M9</f>
        <v/>
      </c>
    </row>
    <row r="23">
      <c r="A23" s="413">
        <f>'Valuation output'!A29</f>
        <v/>
      </c>
      <c r="B23" s="699">
        <f>'Valuation output'!B29</f>
        <v/>
      </c>
      <c r="N23" s="700">
        <f>'Valuation output'!B18</f>
        <v/>
      </c>
    </row>
    <row r="24">
      <c r="A24" s="413">
        <f>'Valuation output'!A30</f>
        <v/>
      </c>
      <c r="B24" s="699">
        <f>'Valuation output'!B30</f>
        <v/>
      </c>
    </row>
    <row r="25">
      <c r="A25" s="413">
        <f>'Valuation output'!A31</f>
        <v/>
      </c>
      <c r="B25" s="699">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1">
        <f>'Valuation output'!A32</f>
        <v/>
      </c>
      <c r="B26" s="702">
        <f>'Valuation output'!B32</f>
        <v/>
      </c>
      <c r="D26" s="398" t="inlineStr">
        <is>
          <t>Cumulated WACC</t>
        </is>
      </c>
      <c r="E26" s="703">
        <f>'Valuation output'!C13</f>
        <v/>
      </c>
      <c r="F26" s="703">
        <f>'Valuation output'!D13</f>
        <v/>
      </c>
      <c r="G26" s="703">
        <f>'Valuation output'!E13</f>
        <v/>
      </c>
      <c r="H26" s="703">
        <f>'Valuation output'!F13</f>
        <v/>
      </c>
      <c r="I26" s="703">
        <f>'Valuation output'!G13</f>
        <v/>
      </c>
      <c r="J26" s="703">
        <f>'Valuation output'!H13</f>
        <v/>
      </c>
      <c r="K26" s="703">
        <f>'Valuation output'!I13</f>
        <v/>
      </c>
      <c r="L26" s="703">
        <f>'Valuation output'!J13</f>
        <v/>
      </c>
      <c r="M26" s="703">
        <f>'Valuation output'!K13</f>
        <v/>
      </c>
      <c r="N26" s="703">
        <f>'Valuation output'!L13</f>
        <v/>
      </c>
    </row>
    <row r="27">
      <c r="A27" s="422">
        <f>'Valuation output'!A33</f>
        <v/>
      </c>
      <c r="B27" s="704">
        <f>'Valuation output'!B33</f>
        <v/>
      </c>
    </row>
    <row r="28">
      <c r="A28" s="426" t="n"/>
      <c r="B28" s="705"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6">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2" t="inlineStr">
        <is>
          <t>Risk Story</t>
        </is>
      </c>
      <c r="E32" s="630" t="n"/>
      <c r="G32" s="692" t="inlineStr">
        <is>
          <t>Competitive Advantages</t>
        </is>
      </c>
      <c r="H32" s="629" t="n"/>
      <c r="I32" s="630" t="n"/>
    </row>
    <row r="33" ht="14.1" customHeight="1">
      <c r="D33" s="537">
        <f>'Stories to Numbers'!G14</f>
        <v/>
      </c>
      <c r="E33" s="656" t="n"/>
      <c r="G33" s="537">
        <f>'Stories to Numbers'!G13</f>
        <v/>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f>'Valuation output'!B3</f>
        <v/>
      </c>
      <c r="C7" s="707">
        <f>'Valuation output'!C3</f>
        <v/>
      </c>
      <c r="D7" s="707">
        <f>'Valuation output'!G3</f>
        <v/>
      </c>
      <c r="E7" s="707">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09">
        <f>B21-B23</f>
        <v/>
      </c>
      <c r="C22" s="269">
        <f>B22/B21</f>
        <v/>
      </c>
      <c r="E22" s="279" t="n"/>
      <c r="G22" s="270" t="inlineStr">
        <is>
          <t>2. Are you comfortable with your return on capital in year 10?</t>
        </is>
      </c>
    </row>
    <row r="23">
      <c r="A23" s="275" t="inlineStr">
        <is>
          <t>PV of FCFF for next ten years</t>
        </is>
      </c>
      <c r="B23" s="708">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0">
        <f>IF(B36="NA","Value is negative. See below",IF(B36&gt;2,"Value seems high. See below",IF(B36&lt;0.5,"Value seems low. See below"," ")))</f>
        <v/>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f>'Input sheet'!B22</f>
        <v/>
      </c>
      <c r="C4" s="198" t="n"/>
      <c r="D4" s="198" t="n"/>
      <c r="E4" s="198" t="n"/>
    </row>
    <row r="5" customFormat="1" s="335">
      <c r="A5" s="198" t="inlineStr">
        <is>
          <t>Enter the strike price on the option =</t>
        </is>
      </c>
      <c r="B5" s="712">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3">
        <f>(B15*D16+B28*D15)/(D16+D15)</f>
        <v/>
      </c>
      <c r="C17" s="323" t="inlineStr">
        <is>
          <t>T.Bond rate=</t>
        </is>
      </c>
      <c r="D17" s="328">
        <f>B9</f>
        <v/>
      </c>
      <c r="E17" s="198" t="n"/>
    </row>
    <row r="18" customFormat="1" s="337">
      <c r="A18" s="323" t="inlineStr">
        <is>
          <t>Adjusted K =</t>
        </is>
      </c>
      <c r="B18" s="333">
        <f>B16</f>
        <v/>
      </c>
      <c r="C18" s="323" t="inlineStr">
        <is>
          <t>Variance=</t>
        </is>
      </c>
      <c r="D18" s="714">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5">
        <f>(LN(B17/B18)+(D20+(D18/2))*B19)/(((D18)^(0.5))*(B19^0.5))</f>
        <v/>
      </c>
      <c r="C22" s="198" t="n"/>
      <c r="D22" s="198" t="n"/>
      <c r="E22" s="198" t="n"/>
      <c r="F22" s="198" t="n"/>
      <c r="G22" s="198" t="n"/>
    </row>
    <row r="23" customFormat="1" s="337">
      <c r="A23" s="198" t="inlineStr">
        <is>
          <t>N (d1) =</t>
        </is>
      </c>
      <c r="B23" s="715">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f>B22-((D18^0.5)*(B19^(0.5)))</f>
        <v/>
      </c>
      <c r="C25" s="198" t="n"/>
      <c r="D25" s="198" t="n"/>
      <c r="E25" s="198" t="n"/>
      <c r="F25" s="198" t="n"/>
      <c r="G25" s="198" t="n"/>
    </row>
    <row r="26" customFormat="1" s="337">
      <c r="A26" s="198" t="inlineStr">
        <is>
          <t>N (d2) =</t>
        </is>
      </c>
      <c r="B26" s="715">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f>((EXP((0-D19)*B19))*B17*B23-B18*(EXP((0-D17)*B19))*B26)</f>
        <v/>
      </c>
      <c r="C28" s="198" t="n"/>
      <c r="D28" s="198" t="n"/>
      <c r="E28" s="198" t="n"/>
      <c r="F28" s="717"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32230</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31370</v>
      </c>
      <c r="C11" s="366" t="inlineStr">
        <is>
          <t>! Year -1 is the year prior to the current year</t>
        </is>
      </c>
      <c r="D11" s="366" t="n"/>
      <c r="E11" s="366" t="n"/>
      <c r="F11" s="366" t="n"/>
      <c r="G11" s="366" t="n"/>
      <c r="H11" s="366" t="n"/>
      <c r="I11" s="366" t="n"/>
      <c r="J11" s="367" t="n"/>
    </row>
    <row r="12" customFormat="1" s="96">
      <c r="A12" s="368">
        <f>IF((0-A11)&lt;$F$6,IF(A11&gt;-1,,A11-1),)</f>
        <v/>
      </c>
      <c r="B12" s="369" t="n">
        <v>29915</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26251</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6">
        <f>IF(A25&lt;0,B25/$F$6,0)</f>
        <v/>
      </c>
      <c r="F25" s="366" t="n"/>
      <c r="G25" s="366" t="n"/>
      <c r="H25" s="366" t="n"/>
      <c r="I25" s="366" t="n"/>
      <c r="J25" s="367" t="n"/>
    </row>
    <row r="26" customFormat="1" s="96">
      <c r="A26" s="368">
        <f>A12</f>
        <v/>
      </c>
      <c r="B26" s="365">
        <f>B12</f>
        <v/>
      </c>
      <c r="C26" s="365">
        <f>IF(A26&lt;0,($F$6+A26)/$F$6,0)</f>
        <v/>
      </c>
      <c r="D26" s="365">
        <f>B26*C26</f>
        <v/>
      </c>
      <c r="E26" s="726">
        <f>IF(A26&lt;0,B26/$F$6,0)</f>
        <v/>
      </c>
      <c r="F26" s="366" t="n"/>
      <c r="G26" s="366" t="n"/>
      <c r="H26" s="366" t="n"/>
      <c r="I26" s="366" t="n"/>
      <c r="J26" s="367" t="n"/>
    </row>
    <row r="27" customFormat="1" s="96">
      <c r="A27" s="368">
        <f>A13</f>
        <v/>
      </c>
      <c r="B27" s="365">
        <f>B13</f>
        <v/>
      </c>
      <c r="C27" s="365">
        <f>IF(A27&lt;0,($F$6+A27)/$F$6,0)</f>
        <v/>
      </c>
      <c r="D27" s="365">
        <f>B27*C27</f>
        <v/>
      </c>
      <c r="E27" s="726">
        <f>IF(A27&lt;0,B27/$F$6,0)</f>
        <v/>
      </c>
      <c r="F27" s="366" t="n"/>
      <c r="G27" s="366" t="n"/>
      <c r="H27" s="366" t="n"/>
      <c r="I27" s="366" t="n"/>
      <c r="J27" s="367" t="n"/>
    </row>
    <row r="28" customFormat="1" s="96">
      <c r="A28" s="368">
        <f>A14</f>
        <v/>
      </c>
      <c r="B28" s="365">
        <f>B14</f>
        <v/>
      </c>
      <c r="C28" s="365">
        <f>IF(A28&lt;0,($F$6+A28)/$F$6,0)</f>
        <v/>
      </c>
      <c r="D28" s="365">
        <f>B28*C28</f>
        <v/>
      </c>
      <c r="E28" s="726">
        <f>IF(A28&lt;0,B28/$F$6,0)</f>
        <v/>
      </c>
      <c r="F28" s="366" t="n"/>
      <c r="G28" s="366" t="n"/>
      <c r="H28" s="366" t="n"/>
      <c r="I28" s="366" t="n"/>
      <c r="J28" s="367" t="n"/>
    </row>
    <row r="29" customFormat="1" s="96">
      <c r="A29" s="368">
        <f>A15</f>
        <v/>
      </c>
      <c r="B29" s="365">
        <f>B15</f>
        <v/>
      </c>
      <c r="C29" s="365">
        <f>IF(A29&lt;0,($F$6+A29)/$F$6,0)</f>
        <v/>
      </c>
      <c r="D29" s="365">
        <f>B29*C29</f>
        <v/>
      </c>
      <c r="E29" s="726">
        <f>IF(A29&lt;0,B29/$F$6,0)</f>
        <v/>
      </c>
      <c r="F29" s="366" t="n"/>
      <c r="G29" s="366" t="n"/>
      <c r="H29" s="366" t="n"/>
      <c r="I29" s="366" t="n"/>
      <c r="J29" s="367" t="n"/>
    </row>
    <row r="30" customFormat="1" s="96">
      <c r="A30" s="368">
        <f>A16</f>
        <v/>
      </c>
      <c r="B30" s="365">
        <f>B16</f>
        <v/>
      </c>
      <c r="C30" s="365">
        <f>IF(A30&lt;0,($F$6+A30)/$F$6,0)</f>
        <v/>
      </c>
      <c r="D30" s="365">
        <f>B30*C30</f>
        <v/>
      </c>
      <c r="E30" s="726">
        <f>IF(A30&lt;0,B30/$F$6,0)</f>
        <v/>
      </c>
      <c r="F30" s="366" t="n"/>
      <c r="G30" s="366" t="n"/>
      <c r="H30" s="366" t="n"/>
      <c r="I30" s="366" t="n"/>
      <c r="J30" s="367" t="n"/>
    </row>
    <row r="31" customFormat="1" s="96">
      <c r="A31" s="368">
        <f>A17</f>
        <v/>
      </c>
      <c r="B31" s="365">
        <f>B17</f>
        <v/>
      </c>
      <c r="C31" s="365">
        <f>IF(A31&lt;0,($F$6+A31)/$F$6,0)</f>
        <v/>
      </c>
      <c r="D31" s="365">
        <f>B31*C31</f>
        <v/>
      </c>
      <c r="E31" s="726">
        <f>IF(A31&lt;0,B31/$F$6,0)</f>
        <v/>
      </c>
      <c r="F31" s="366" t="n"/>
      <c r="G31" s="366" t="n"/>
      <c r="H31" s="366" t="n"/>
      <c r="I31" s="366" t="n"/>
      <c r="J31" s="367" t="n"/>
    </row>
    <row r="32" customFormat="1" s="96">
      <c r="A32" s="368">
        <f>A18</f>
        <v/>
      </c>
      <c r="B32" s="365">
        <f>B18</f>
        <v/>
      </c>
      <c r="C32" s="365">
        <f>IF(A32&lt;0,($F$6+A32)/$F$6,0)</f>
        <v/>
      </c>
      <c r="D32" s="365">
        <f>B32*C32</f>
        <v/>
      </c>
      <c r="E32" s="726">
        <f>IF(A32&lt;0,B32/$F$6,0)</f>
        <v/>
      </c>
      <c r="F32" s="366" t="n"/>
      <c r="G32" s="366" t="n"/>
      <c r="H32" s="366" t="n"/>
      <c r="I32" s="366" t="n"/>
      <c r="J32" s="367" t="n"/>
    </row>
    <row r="33" customFormat="1" s="96">
      <c r="A33" s="368">
        <f>A19</f>
        <v/>
      </c>
      <c r="B33" s="365">
        <f>B19</f>
        <v/>
      </c>
      <c r="C33" s="365">
        <f>IF(A33&lt;0,($F$6+A33)/$F$6,0)</f>
        <v/>
      </c>
      <c r="D33" s="365">
        <f>B33*C33</f>
        <v/>
      </c>
      <c r="E33" s="726">
        <f>IF(A33&lt;0,B33/$F$6,0)</f>
        <v/>
      </c>
      <c r="F33" s="366" t="n"/>
      <c r="G33" s="366" t="n"/>
      <c r="H33" s="366" t="n"/>
      <c r="I33" s="366" t="n"/>
      <c r="J33" s="367" t="n"/>
    </row>
    <row r="34" ht="15.95" customFormat="1" customHeight="1" s="96" thickBot="1">
      <c r="A34" s="368">
        <f>A20</f>
        <v/>
      </c>
      <c r="B34" s="365">
        <f>B20</f>
        <v/>
      </c>
      <c r="C34" s="365">
        <f>IF(A34&lt;0,($F$6+A34)/$F$6,0)</f>
        <v/>
      </c>
      <c r="D34" s="374">
        <f>B34*C34</f>
        <v/>
      </c>
      <c r="E34" s="727">
        <f>IF(A34&lt;0,B34/$F$6,0)</f>
        <v/>
      </c>
      <c r="F34" s="366" t="n"/>
      <c r="G34" s="366" t="n"/>
      <c r="H34" s="366" t="n"/>
      <c r="I34" s="366" t="n"/>
      <c r="J34" s="367" t="n"/>
    </row>
    <row r="35" ht="14.1" customFormat="1" customHeight="1" s="6" thickBot="1">
      <c r="A35" s="337" t="inlineStr">
        <is>
          <t>Value of Research Asset =</t>
        </is>
      </c>
      <c r="B35" s="337" t="n"/>
      <c r="C35" s="337" t="n"/>
      <c r="D35" s="728">
        <f>SUM(D24:D34)</f>
        <v/>
      </c>
      <c r="E35" s="728">
        <f>SUM(E25:E34)</f>
        <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f>E35</f>
        <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7">
        <f>B7</f>
        <v/>
      </c>
      <c r="C22" s="738">
        <f>B22/(1+$C$15)^A22</f>
        <v/>
      </c>
    </row>
    <row r="23" customFormat="1" s="6">
      <c r="A23" s="12">
        <f>A8</f>
        <v/>
      </c>
      <c r="B23" s="737">
        <f>B8</f>
        <v/>
      </c>
      <c r="C23" s="738">
        <f>B23/(1+$C$15)^A23</f>
        <v/>
      </c>
    </row>
    <row r="24" customFormat="1" s="6">
      <c r="A24" s="12">
        <f>A9</f>
        <v/>
      </c>
      <c r="B24" s="737">
        <f>B9</f>
        <v/>
      </c>
      <c r="C24" s="738">
        <f>B24/(1+$C$15)^A24</f>
        <v/>
      </c>
    </row>
    <row r="25" customFormat="1" s="6">
      <c r="A25" s="12">
        <f>A10</f>
        <v/>
      </c>
      <c r="B25" s="737">
        <f>B10</f>
        <v/>
      </c>
      <c r="C25" s="738">
        <f>B25/(1+$C$15)^A25</f>
        <v/>
      </c>
    </row>
    <row r="26" customFormat="1" s="6">
      <c r="A26" s="12">
        <f>A11</f>
        <v/>
      </c>
      <c r="B26" s="737">
        <f>B11</f>
        <v/>
      </c>
      <c r="C26" s="738">
        <f>B26/(1+$C$15)^A26</f>
        <v/>
      </c>
    </row>
    <row r="27" ht="14.1" customFormat="1" customHeight="1" s="6" thickBot="1">
      <c r="A27" s="22">
        <f>A12</f>
        <v/>
      </c>
      <c r="B27" s="739">
        <f>IF(B12&gt;0,IF(D18&gt;0,B12/D18,B12),0)</f>
        <v/>
      </c>
      <c r="C27" s="740">
        <f>IF(D18&gt;0,(B27*(1-(1+C15)^(-D18))/C15)/(1+$C$15)^5,B27/(1+C15)^6)</f>
        <v/>
      </c>
      <c r="D27" s="6" t="inlineStr">
        <is>
          <t>! Commitment beyond year 6 converted into an annuity for ten years</t>
        </is>
      </c>
    </row>
    <row r="28" ht="14.1" customFormat="1" customHeight="1" s="6" thickBot="1">
      <c r="A28" s="18" t="inlineStr">
        <is>
          <t>Debt Value of leases =</t>
        </is>
      </c>
      <c r="B28" s="25" t="n"/>
      <c r="C28" s="741">
        <f>SUM(C22:C27)</f>
        <v/>
      </c>
    </row>
    <row r="29" customFormat="1" s="6"/>
    <row r="30" customFormat="1" s="6">
      <c r="A30" s="9" t="inlineStr">
        <is>
          <t>Restated Financials</t>
        </is>
      </c>
    </row>
    <row r="31" ht="14.1" customFormat="1" customHeight="1" s="6" thickBot="1">
      <c r="A31" s="6" t="inlineStr">
        <is>
          <t>Depreciation on Operating Lease Asset =</t>
        </is>
      </c>
      <c r="F31" s="740">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2">
        <f>C28</f>
        <v/>
      </c>
      <c r="G33" s="6" t="inlineStr">
        <is>
          <t>! Add this amount to debt</t>
        </is>
      </c>
    </row>
    <row r="34" ht="14.1" customHeight="1">
      <c r="A34" s="6" t="inlineStr">
        <is>
          <t>Adjustment to Depreciation =</t>
        </is>
      </c>
      <c r="F34" s="743">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abSelected="1" topLeftCell="A41" workbookViewId="0">
      <selection activeCell="A48" sqref="A48"/>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f>IF(H5=0,0,VLOOKUP(G5,'Country equity risk premiums'!$A$5:$D$195,4))</f>
        <v/>
      </c>
      <c r="J5" s="66">
        <f>IF(H5&gt;0,H5/$H$18,)</f>
        <v/>
      </c>
      <c r="K5" s="66">
        <f>IF(J5=0,0,I5*J5)</f>
        <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f>IF(H6=0,0,VLOOKUP(G6,'Country equity risk premiums'!$A$5:$D$195,4))</f>
        <v/>
      </c>
      <c r="J6" s="66">
        <f>IF(H6&gt;0,H6/$H$18,)</f>
        <v/>
      </c>
      <c r="K6" s="66">
        <f>IF(J6=0,0,I6*J6)</f>
        <v/>
      </c>
    </row>
    <row r="7" ht="15" customFormat="1" customHeight="1" s="6">
      <c r="A7" s="680" t="n"/>
      <c r="E7" s="633" t="n"/>
      <c r="F7" s="59" t="n"/>
      <c r="G7" s="81" t="n"/>
      <c r="H7" s="81" t="n"/>
      <c r="I7" s="66">
        <f>IF(H7=0,0,VLOOKUP(G7,'Country equity risk premiums'!$A$5:$D$195,4))</f>
        <v/>
      </c>
      <c r="J7" s="66">
        <f>IF(H7&gt;0,H7/$H$18,)</f>
        <v/>
      </c>
      <c r="K7" s="66">
        <f>IF(J7=0,0,I7*J7)</f>
        <v/>
      </c>
    </row>
    <row r="8" ht="15" customFormat="1" customHeight="1" s="6">
      <c r="A8" s="680" t="n"/>
      <c r="E8" s="633" t="n"/>
      <c r="F8" s="59" t="n"/>
      <c r="G8" s="81" t="n"/>
      <c r="H8" s="81" t="n"/>
      <c r="I8" s="66">
        <f>IF(H8=0,0,VLOOKUP(G8,'Country equity risk premiums'!$A$5:$D$195,4))</f>
        <v/>
      </c>
      <c r="J8" s="66">
        <f>IF(H8&gt;0,H8/$H$18,)</f>
        <v/>
      </c>
      <c r="K8" s="66">
        <f>IF(J8=0,0,I8*J8)</f>
        <v/>
      </c>
    </row>
    <row r="9" ht="15" customFormat="1" customHeight="1" s="6" thickBot="1">
      <c r="A9" s="719" t="n"/>
      <c r="B9" s="720" t="n"/>
      <c r="C9" s="720" t="n"/>
      <c r="D9" s="720" t="n"/>
      <c r="E9" s="721"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Detailed</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5" t="inlineStr">
        <is>
          <t>Approach 1: Detailed Cost of Capital</t>
        </is>
      </c>
      <c r="B15" s="619" t="n"/>
      <c r="C15" s="619" t="n"/>
      <c r="D15" s="619" t="n"/>
      <c r="E15" s="619" t="n"/>
      <c r="F15" s="620"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6">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7">
        <f>I21*J21</f>
        <v/>
      </c>
    </row>
    <row r="22" ht="15" customFormat="1" customHeight="1" s="6">
      <c r="A22" s="6" t="inlineStr">
        <is>
          <t>If direct input, enter levered beta (or regression beta)</t>
        </is>
      </c>
      <c r="B22" s="109" t="n">
        <v>1.2</v>
      </c>
      <c r="G22" s="12">
        <f>'Country equity risk premiums'!A202</f>
        <v/>
      </c>
      <c r="H22" s="81" t="n">
        <v>30658</v>
      </c>
      <c r="I22" s="13">
        <f>'Country equity risk premiums'!B202</f>
        <v/>
      </c>
      <c r="J22" s="66">
        <f>H22/$H$32</f>
        <v/>
      </c>
      <c r="K22" s="747">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7">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7">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7">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7">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7">
        <f>I27*J27</f>
        <v/>
      </c>
    </row>
    <row r="28" ht="15" customFormat="1" customHeight="1" s="6">
      <c r="G28" s="12">
        <f>'Country equity risk premiums'!A208</f>
        <v/>
      </c>
      <c r="H28" s="81" t="n">
        <v>167045</v>
      </c>
      <c r="I28" s="13">
        <f>'Country equity risk premiums'!B208</f>
        <v/>
      </c>
      <c r="J28" s="66">
        <f>H28/$H$32</f>
        <v/>
      </c>
      <c r="K28" s="747">
        <f>I28*J28</f>
        <v/>
      </c>
    </row>
    <row r="29" ht="15" customFormat="1" customHeight="1" s="6">
      <c r="A29" s="11" t="inlineStr">
        <is>
          <t>Debt</t>
        </is>
      </c>
      <c r="G29" s="12">
        <f>'Country equity risk premiums'!A209</f>
        <v/>
      </c>
      <c r="H29" s="81" t="n">
        <v>101328</v>
      </c>
      <c r="I29" s="13">
        <f>'Country equity risk premiums'!B209</f>
        <v/>
      </c>
      <c r="J29" s="66">
        <f>H29/$H$32</f>
        <v/>
      </c>
      <c r="K29" s="747">
        <f>I29*J29</f>
        <v/>
      </c>
    </row>
    <row r="30" ht="15" customFormat="1" customHeight="1" s="6">
      <c r="A30" s="6" t="inlineStr">
        <is>
          <t>Book Value of Straight Debt =</t>
        </is>
      </c>
      <c r="B30" s="746">
        <f>'Input sheet'!B15</f>
        <v/>
      </c>
      <c r="G30" s="81" t="inlineStr">
        <is>
          <t>Japão</t>
        </is>
      </c>
      <c r="H30" s="81" t="n">
        <v>25052</v>
      </c>
      <c r="I30" s="142">
        <f>$B$1+E93</f>
        <v/>
      </c>
      <c r="J30" s="66">
        <f>H30/$H$32</f>
        <v/>
      </c>
      <c r="K30" s="747">
        <f>I30*J30</f>
        <v/>
      </c>
    </row>
    <row r="31" ht="15" customFormat="1" customHeight="1" s="6">
      <c r="A31" s="6" t="inlineStr">
        <is>
          <t>Interest Expense on Debt =</t>
        </is>
      </c>
      <c r="B31" s="746">
        <f>'Input sheet'!B13</f>
        <v/>
      </c>
      <c r="G31" s="81" t="inlineStr">
        <is>
          <t>China</t>
        </is>
      </c>
      <c r="H31" s="81" t="n">
        <v>66952</v>
      </c>
      <c r="I31" s="142">
        <f>$B$1+E42</f>
        <v/>
      </c>
      <c r="J31" s="66">
        <f>H31/$H$32</f>
        <v/>
      </c>
      <c r="K31" s="747">
        <f>I31*J31</f>
        <v/>
      </c>
    </row>
    <row r="32" ht="15" customFormat="1" customHeight="1" s="6">
      <c r="A32" s="6" t="inlineStr">
        <is>
          <t>Average Maturity =</t>
        </is>
      </c>
      <c r="B32" s="60" t="n">
        <v>0</v>
      </c>
      <c r="G32" s="82" t="inlineStr">
        <is>
          <t>Total</t>
        </is>
      </c>
      <c r="H32" s="82">
        <f>SUM(H21:H31)</f>
        <v/>
      </c>
      <c r="I32" s="68" t="n"/>
      <c r="J32" s="66">
        <f>SUM(J21:J31)</f>
        <v/>
      </c>
      <c r="K32" s="748">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0" t="n">
        <v>195010</v>
      </c>
      <c r="I36" s="751">
        <f>IF(G36=0,,VLOOKUP(G36,'Industry Averages(US)'!$A$2:$S$95,15))</f>
        <v/>
      </c>
      <c r="J36" s="752">
        <f>H36*I36</f>
        <v/>
      </c>
      <c r="K36" s="753">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Electronics (General)</t>
        </is>
      </c>
      <c r="H37" s="750" t="n">
        <v>43000</v>
      </c>
      <c r="I37" s="751">
        <f>IF(G37=0,,VLOOKUP(G37,'Industry Averages(US)'!$A$2:$S$95,15))</f>
        <v/>
      </c>
      <c r="J37" s="752">
        <f>H37*I37</f>
        <v/>
      </c>
      <c r="K37" s="753">
        <f>IF(I37=0,0,VLOOKUP(G37,'Industry Averages(US)'!$A$2:$S$95,7))</f>
        <v/>
      </c>
      <c r="L37" s="188">
        <f>IF(I37=0,0,VLOOKUP(G37,'Industry Averages(US)'!$A$2:$S$95,13))</f>
        <v/>
      </c>
    </row>
    <row r="38" ht="15" customFormat="1" customHeight="1" s="6">
      <c r="A38" s="6" t="inlineStr">
        <is>
          <t>Tax Rate =</t>
        </is>
      </c>
      <c r="B38" s="107">
        <f>'Input sheet'!B24</f>
        <v/>
      </c>
      <c r="G38" s="81" t="inlineStr">
        <is>
          <t>Entertainment</t>
        </is>
      </c>
      <c r="H38" s="750" t="n">
        <v>15000</v>
      </c>
      <c r="I38" s="751">
        <f>IF(G38=0,,VLOOKUP(G38,'Industry Averages(US)'!$A$2:$S$95,15))</f>
        <v/>
      </c>
      <c r="J38" s="752">
        <f>H38*I38</f>
        <v/>
      </c>
      <c r="K38" s="753">
        <f>IF(I38=0,0,VLOOKUP(G38,'Industry Averages(US)'!$A$2:$S$95,7))</f>
        <v/>
      </c>
      <c r="L38" s="188">
        <f>IF(I38=0,0,VLOOKUP(G38,'Industry Averages(US)'!$A$2:$S$95,13))</f>
        <v/>
      </c>
    </row>
    <row r="39" ht="15" customFormat="1" customHeight="1" s="6">
      <c r="G39" s="81" t="n"/>
      <c r="H39" s="750" t="n"/>
      <c r="I39" s="751">
        <f>IF(G39=0,,VLOOKUP(G39,'Industry Averages(US)'!$A$2:$S$95,15))</f>
        <v/>
      </c>
      <c r="J39" s="752">
        <f>H39*I39</f>
        <v/>
      </c>
      <c r="K39" s="753">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0" t="n"/>
      <c r="I40" s="751">
        <f>IF(G40=0,,VLOOKUP(G40,'Industry Averages(US)'!$A$2:$S$95,15))</f>
        <v/>
      </c>
      <c r="J40" s="752">
        <f>H40*I40</f>
        <v/>
      </c>
      <c r="K40" s="753">
        <f>IF(I40=0,0,VLOOKUP(G40,'Industry Averages(US)'!$A$2:$S$95,7))</f>
        <v/>
      </c>
      <c r="L40" s="188">
        <f>IF(I40=0,0,VLOOKUP(G40,'Industry Averages(US)'!$A$2:$S$95,13))</f>
        <v/>
      </c>
    </row>
    <row r="41" ht="15" customFormat="1" customHeight="1" s="6">
      <c r="A41" s="6" t="inlineStr">
        <is>
          <t>Interest Expense on Convertible =</t>
        </is>
      </c>
      <c r="B41" s="60" t="n">
        <v>0</v>
      </c>
      <c r="G41" s="81" t="n"/>
      <c r="H41" s="750" t="n"/>
      <c r="I41" s="751">
        <f>IF(G41=0,,VLOOKUP(G41,'Industry Averages(US)'!$A$2:$S$95,15))</f>
        <v/>
      </c>
      <c r="J41" s="752">
        <f>H41*I41</f>
        <v/>
      </c>
      <c r="K41" s="753">
        <f>IF(I41=0,0,VLOOKUP(G41,'Industry Averages(US)'!$A$2:$S$95,7))</f>
        <v/>
      </c>
      <c r="L41" s="188">
        <f>IF(I41=0,0,VLOOKUP(G41,'Industry Averages(US)'!$A$2:$S$95,13))</f>
        <v/>
      </c>
    </row>
    <row r="42" ht="15" customFormat="1" customHeight="1" s="6">
      <c r="A42" s="6" t="inlineStr">
        <is>
          <t>Maturity of Convertible Bond =</t>
        </is>
      </c>
      <c r="B42" s="60" t="n">
        <v>0</v>
      </c>
      <c r="G42" s="81" t="n"/>
      <c r="H42" s="750" t="n"/>
      <c r="I42" s="751">
        <f>IF(G42=0,,VLOOKUP(G42,'Industry Averages(US)'!$A$2:$S$95,15))</f>
        <v/>
      </c>
      <c r="J42" s="752">
        <f>H42*I42</f>
        <v/>
      </c>
      <c r="K42" s="753">
        <f>IF(I42=0,0,VLOOKUP(G42,'Industry Averages(US)'!$A$2:$S$95,7))</f>
        <v/>
      </c>
      <c r="L42" s="188">
        <f>IF(I42=0,0,VLOOKUP(G42,'Industry Averages(US)'!$A$2:$S$95,13))</f>
        <v/>
      </c>
    </row>
    <row r="43" ht="15" customFormat="1" customHeight="1" s="6">
      <c r="A43" s="6" t="inlineStr">
        <is>
          <t>Market Value of Convertible =</t>
        </is>
      </c>
      <c r="B43" s="60" t="n">
        <v>0</v>
      </c>
      <c r="G43" s="81" t="n"/>
      <c r="H43" s="750" t="n"/>
      <c r="I43" s="751">
        <f>IF(G43=0,,VLOOKUP(G43,'Industry Averages(US)'!$A$2:$S$95,15))</f>
        <v/>
      </c>
      <c r="J43" s="752">
        <f>H43*I43</f>
        <v/>
      </c>
      <c r="K43" s="753">
        <f>IF(I43=0,0,VLOOKUP(G43,'Industry Averages(US)'!$A$2:$S$95,7))</f>
        <v/>
      </c>
      <c r="L43" s="188">
        <f>IF(I43=0,0,VLOOKUP(G43,'Industry Averages(US)'!$A$2:$S$95,13))</f>
        <v/>
      </c>
    </row>
    <row r="44" ht="14.1" customHeight="1">
      <c r="A44" s="6" t="n"/>
      <c r="B44" s="6" t="n"/>
      <c r="C44" s="6" t="n"/>
      <c r="D44" s="6" t="n"/>
      <c r="E44" s="6" t="n"/>
      <c r="F44" s="6" t="n"/>
      <c r="G44" s="81" t="n"/>
      <c r="H44" s="750" t="n"/>
      <c r="I44" s="751">
        <f>IF(G44=0,,VLOOKUP(G44,'Industry Averages(US)'!$A$2:$S$95,15))</f>
        <v/>
      </c>
      <c r="J44" s="752">
        <f>H44*I44</f>
        <v/>
      </c>
      <c r="K44" s="753">
        <f>IF(I44=0,0,VLOOKUP(G44,'Industry Averages(US)'!$A$2:$S$95,7))</f>
        <v/>
      </c>
      <c r="L44" s="188">
        <f>IF(I44=0,0,VLOOKUP(G44,'Industry Averages(US)'!$A$2:$S$95,13))</f>
        <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f>IF('Input sheet'!B17="Yes",'Operating lease converter'!F33,0)</f>
        <v/>
      </c>
      <c r="C45" s="6" t="n"/>
      <c r="D45" s="6" t="n"/>
      <c r="E45" s="6" t="n"/>
      <c r="F45" s="6" t="n"/>
      <c r="G45" s="81" t="n"/>
      <c r="H45" s="750" t="n"/>
      <c r="I45" s="751">
        <f>IF(G45=0,,VLOOKUP(G45,'Industry Averages(US)'!$A$2:$S$95,15))</f>
        <v/>
      </c>
      <c r="J45" s="752">
        <f>H45*I45</f>
        <v/>
      </c>
      <c r="K45" s="753">
        <f>IF(I45=0,0,VLOOKUP(G45,'Industry Averages(US)'!$A$2:$S$95,7))</f>
        <v/>
      </c>
      <c r="L45" s="188">
        <f>IF(I45=0,0,VLOOKUP(G45,'Industry Averages(US)'!$A$2:$S$95,13))</f>
        <v/>
      </c>
      <c r="M45" s="658" t="n"/>
      <c r="O45" s="659" t="n"/>
    </row>
    <row r="46" ht="14.1" customHeight="1">
      <c r="A46" s="6" t="n"/>
      <c r="B46" s="6" t="n"/>
      <c r="C46" s="6" t="n"/>
      <c r="D46" s="6" t="n"/>
      <c r="E46" s="6" t="n"/>
      <c r="F46" s="6" t="n"/>
      <c r="G46" s="81" t="n"/>
      <c r="H46" s="750" t="n"/>
      <c r="I46" s="751">
        <f>IF(G46=0,,VLOOKUP(G46,'Industry Averages(US)'!$A$2:$S$95,15))</f>
        <v/>
      </c>
      <c r="J46" s="752">
        <f>H46*I46</f>
        <v/>
      </c>
      <c r="K46" s="753">
        <f>IF(I46=0,0,VLOOKUP(G46,'Industry Averages(US)'!$A$2:$S$95,7))</f>
        <v/>
      </c>
      <c r="L46" s="188">
        <f>IF(I46=0,0,VLOOKUP(G46,'Industry Averages(US)'!$A$2:$S$95,13))</f>
        <v/>
      </c>
      <c r="M46" s="658" t="n"/>
      <c r="O46" s="659" t="n"/>
    </row>
    <row r="47" ht="14.1" customHeight="1">
      <c r="A47" s="11" t="inlineStr">
        <is>
          <t>Preferred Stock</t>
        </is>
      </c>
      <c r="B47" s="6" t="n"/>
      <c r="C47" s="6" t="n"/>
      <c r="D47" s="6" t="n"/>
      <c r="E47" s="6" t="n"/>
      <c r="F47" s="6" t="n"/>
      <c r="G47" s="81" t="n"/>
      <c r="H47" s="750" t="n"/>
      <c r="I47" s="751">
        <f>IF(G47=0,,VLOOKUP(G47,'Industry Averages(US)'!$A$2:$S$95,15))</f>
        <v/>
      </c>
      <c r="J47" s="752">
        <f>H47*I47</f>
        <v/>
      </c>
      <c r="K47" s="753">
        <f>IF(I47=0,0,VLOOKUP(G47,'Industry Averages(US)'!$A$2:$S$95,7))</f>
        <v/>
      </c>
      <c r="L47" s="188">
        <f>IF(I47=0,0,VLOOKUP(G47,'Industry Averages(US)'!$A$2:$S$95,13))</f>
        <v/>
      </c>
      <c r="M47" s="658" t="n"/>
      <c r="O47" s="659" t="n"/>
    </row>
    <row r="48" ht="14.1" customHeight="1">
      <c r="A48" s="6" t="inlineStr">
        <is>
          <t>Number of Preferred Shares =</t>
        </is>
      </c>
      <c r="B48" s="60" t="n">
        <v>0</v>
      </c>
      <c r="C48" s="6" t="n"/>
      <c r="D48" s="6" t="n"/>
      <c r="E48" s="6" t="n"/>
      <c r="F48" s="6" t="n"/>
      <c r="G48" s="90" t="inlineStr">
        <is>
          <t>Company</t>
        </is>
      </c>
      <c r="H48" s="754">
        <f>SUM(H36:H47)</f>
        <v/>
      </c>
      <c r="I48" s="755" t="n"/>
      <c r="J48" s="752">
        <f>SUM(J36:J47)</f>
        <v/>
      </c>
      <c r="K48" s="756">
        <f>K36*(J36/J48)+K37*J37/J48+K38*J38/J48+K39*J39/J48+K40*J40/J48+K41*J41/J48+K42*J42/J48+K43*J43/J48+K44*J44/J48+K45*J45/J48+K46*J46/J48+K47*J47/J48</f>
        <v/>
      </c>
      <c r="L48" s="189">
        <f>L36*(J36/J48)+L37*J37/J48+L38*J38/J48+L39*J39/J48+L40*J40/J48+L41*J41/J48+L42*J42/J48+L43*J43/J48+L44*J44/J48+L45*J45/J48+L46*J46/J48+L47*J47/J48</f>
        <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f>IF(G52=0,,VLOOKUP(G52,'Industry Average Beta (Global)'!$A$2:$O$95,15))</f>
        <v/>
      </c>
      <c r="J52" s="752">
        <f>H52*I52</f>
        <v/>
      </c>
      <c r="K52" s="751">
        <f>IF(G52=0,,VLOOKUP(G52,'Industry Average Beta (Global)'!$A$2:$O$95,7))</f>
        <v/>
      </c>
      <c r="L52" s="188">
        <f>IF(I52=0,0,VLOOKUP(G52,'Industry Average Beta (Global)'!$A$2:$M$95,13))</f>
        <v/>
      </c>
    </row>
    <row r="53" ht="14.1" customHeight="1">
      <c r="A53" s="12" t="inlineStr">
        <is>
          <t>Estimating Market Value of Straight Debt =</t>
        </is>
      </c>
      <c r="B53" s="12" t="n"/>
      <c r="C53" s="757">
        <f>B31*(1-(1+B37)^(-B32))/B37+B30/(1+B37)^B32</f>
        <v/>
      </c>
      <c r="D53" s="6" t="n"/>
      <c r="E53" s="6" t="n"/>
      <c r="F53" s="6" t="n"/>
      <c r="G53" s="81" t="n"/>
      <c r="H53" s="750" t="n"/>
      <c r="I53" s="751">
        <f>IF(G53=0,,VLOOKUP(G53,'Industry Average Beta (Global)'!$A$2:$O$95,15))</f>
        <v/>
      </c>
      <c r="J53" s="752">
        <f>H53*I53</f>
        <v/>
      </c>
      <c r="K53" s="751">
        <f>IF(G53=0,,VLOOKUP(G53,'Industry Average Beta (Global)'!$A$2:$O$95,7))</f>
        <v/>
      </c>
      <c r="L53" s="188">
        <f>IF(I53=0,0,VLOOKUP(G53,'Industry Average Beta (Global)'!$A$2:$M$95,13))</f>
        <v/>
      </c>
    </row>
    <row r="54" ht="14.1" customHeight="1">
      <c r="A54" s="12" t="inlineStr">
        <is>
          <t>Estimated Value of Straight Debt in Convertible =</t>
        </is>
      </c>
      <c r="B54" s="12" t="n"/>
      <c r="C54" s="757">
        <f>B41*(1-(1+B37)^(-B42))/B37+B40/(1+B37)^B42</f>
        <v/>
      </c>
      <c r="D54" s="6" t="n"/>
      <c r="E54" s="6" t="n"/>
      <c r="F54" s="6" t="n"/>
      <c r="G54" s="81" t="n"/>
      <c r="H54" s="750" t="n"/>
      <c r="I54" s="751">
        <f>IF(G54=0,,VLOOKUP(G54,'Industry Average Beta (Global)'!$A$2:$O$95,15))</f>
        <v/>
      </c>
      <c r="J54" s="752">
        <f>H54*I54</f>
        <v/>
      </c>
      <c r="K54" s="751">
        <f>IF(G54=0,,VLOOKUP(G54,'Industry Average Beta (Global)'!$A$2:$O$95,7))</f>
        <v/>
      </c>
      <c r="L54" s="188">
        <f>IF(I54=0,0,VLOOKUP(G54,'Industry Average Beta (Global)'!$A$2:$M$95,13))</f>
        <v/>
      </c>
    </row>
    <row r="55" ht="14.1" customHeight="1">
      <c r="A55" s="12" t="inlineStr">
        <is>
          <t>Value of Debt in Operating leases =</t>
        </is>
      </c>
      <c r="B55" s="12" t="n"/>
      <c r="C55" s="757">
        <f>B45</f>
        <v/>
      </c>
      <c r="D55" s="6" t="n"/>
      <c r="E55" s="6" t="n"/>
      <c r="F55" s="6" t="n"/>
      <c r="G55" s="81" t="n"/>
      <c r="H55" s="750" t="n"/>
      <c r="I55" s="751">
        <f>IF(G55=0,,VLOOKUP(G55,'Industry Average Beta (Global)'!$A$2:$O$95,15))</f>
        <v/>
      </c>
      <c r="J55" s="752">
        <f>H55*I55</f>
        <v/>
      </c>
      <c r="K55" s="751">
        <f>IF(G55=0,,VLOOKUP(G55,'Industry Average Beta (Global)'!$A$2:$O$95,7))</f>
        <v/>
      </c>
      <c r="L55" s="188">
        <f>IF(I55=0,0,VLOOKUP(G55,'Industry Average Beta (Global)'!$A$2:$M$95,13))</f>
        <v/>
      </c>
    </row>
    <row r="56" ht="14.1" customHeight="1">
      <c r="A56" s="12" t="inlineStr">
        <is>
          <t>Estimated Value of Equity in Convertible =</t>
        </is>
      </c>
      <c r="B56" s="12" t="n"/>
      <c r="C56" s="757">
        <f>B43-C54</f>
        <v/>
      </c>
      <c r="D56" s="6" t="n"/>
      <c r="E56" s="6" t="n"/>
      <c r="F56" s="6" t="n"/>
      <c r="G56" s="81" t="n"/>
      <c r="H56" s="750" t="n"/>
      <c r="I56" s="751">
        <f>IF(G56=0,,VLOOKUP(G56,'Industry Average Beta (Global)'!$A$2:$O$95,15))</f>
        <v/>
      </c>
      <c r="J56" s="752">
        <f>H56*I56</f>
        <v/>
      </c>
      <c r="K56" s="751">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0" t="n"/>
      <c r="I57" s="751">
        <f>IF(G57=0,,VLOOKUP(G57,'Industry Average Beta (Global)'!$A$2:$O$95,15))</f>
        <v/>
      </c>
      <c r="J57" s="752">
        <f>H57*I57</f>
        <v/>
      </c>
      <c r="K57" s="751">
        <f>IF(G57=0,,VLOOKUP(G57,'Industry Average Beta (Global)'!$A$2:$O$95,7))</f>
        <v/>
      </c>
      <c r="L57" s="188">
        <f>IF(I57=0,0,VLOOKUP(G57,'Industry Average Beta (Global)'!$A$2:$M$95,13))</f>
        <v/>
      </c>
    </row>
    <row r="58" ht="14.1" customHeight="1">
      <c r="A58" s="6" t="n"/>
      <c r="B58" s="6" t="n"/>
      <c r="C58" s="71" t="n"/>
      <c r="D58" s="6" t="n"/>
      <c r="E58" s="6" t="n"/>
      <c r="F58" s="6" t="n"/>
      <c r="G58" s="81" t="n"/>
      <c r="H58" s="750" t="n"/>
      <c r="I58" s="751">
        <f>IF(G58=0,,VLOOKUP(G58,'Industry Average Beta (Global)'!$A$2:$O$95,15))</f>
        <v/>
      </c>
      <c r="J58" s="752">
        <f>H58*I58</f>
        <v/>
      </c>
      <c r="K58" s="751">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f>IF(G59=0,,VLOOKUP(G59,'Industry Average Beta (Global)'!$A$2:$O$95,15))</f>
        <v/>
      </c>
      <c r="J59" s="752">
        <f>H59*I59</f>
        <v/>
      </c>
      <c r="K59" s="751">
        <f>IF(G59=0,,VLOOKUP(G59,'Industry Average Beta (Global)'!$A$2:$O$95,7))</f>
        <v/>
      </c>
      <c r="L59" s="188">
        <f>IF(I59=0,0,VLOOKUP(G59,'Industry Average Beta (Global)'!$A$2:$M$95,13))</f>
        <v/>
      </c>
    </row>
    <row r="60" ht="14.1" customHeight="1">
      <c r="A60" s="12" t="inlineStr">
        <is>
          <t>Market Value</t>
        </is>
      </c>
      <c r="B60" s="757">
        <f>B18*B19</f>
        <v/>
      </c>
      <c r="C60" s="758">
        <f>C53+C54+C55</f>
        <v/>
      </c>
      <c r="D60" s="757">
        <f>B48*B49</f>
        <v/>
      </c>
      <c r="E60" s="758">
        <f>SUM(B60:D60)</f>
        <v/>
      </c>
      <c r="F60" s="6" t="n"/>
      <c r="G60" s="81" t="n"/>
      <c r="H60" s="750" t="n"/>
      <c r="I60" s="751">
        <f>IF(G60=0,,VLOOKUP(G60,'Industry Average Beta (Global)'!$A$2:$O$95,15))</f>
        <v/>
      </c>
      <c r="J60" s="752">
        <f>H60*I60</f>
        <v/>
      </c>
      <c r="K60" s="751">
        <f>IF(G60=0,,VLOOKUP(G60,'Industry Average Beta (Global)'!$A$2:$O$95,7))</f>
        <v/>
      </c>
      <c r="L60" s="188">
        <f>IF(I60=0,0,VLOOKUP(G60,'Industry Average Beta (Global)'!$A$2:$M$95,13))</f>
        <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f>B60/$E$60</f>
        <v/>
      </c>
      <c r="C61" s="66">
        <f>C60/$E$60</f>
        <v/>
      </c>
      <c r="D61" s="66">
        <f>D60/$E$60</f>
        <v/>
      </c>
      <c r="E61" s="67">
        <f>SUM(B61:D61)</f>
        <v/>
      </c>
      <c r="F61" s="6" t="n"/>
      <c r="G61" s="81" t="n"/>
      <c r="H61" s="750" t="n"/>
      <c r="I61" s="751">
        <f>IF(G61=0,,VLOOKUP(G61,'Industry Average Beta (Global)'!$A$2:$O$95,15))</f>
        <v/>
      </c>
      <c r="J61" s="752">
        <f>H61*I61</f>
        <v/>
      </c>
      <c r="K61" s="751">
        <f>IF(G61=0,,VLOOKUP(G61,'Industry Average Beta (Global)'!$A$2:$O$95,7))</f>
        <v/>
      </c>
      <c r="L61" s="188">
        <f>IF(I61=0,0,VLOOKUP(G61,'Industry Average Beta (Global)'!$A$2:$M$95,13))</f>
        <v/>
      </c>
      <c r="M61" s="658" t="n"/>
      <c r="O61" s="659" t="n"/>
    </row>
    <row r="62" ht="15" customHeight="1" thickBot="1">
      <c r="A62" s="12" t="inlineStr">
        <is>
          <t>Cost of Component</t>
        </is>
      </c>
      <c r="B62" s="68">
        <f>B24+C57*B27</f>
        <v/>
      </c>
      <c r="C62" s="66">
        <f>B37*(1-B38)</f>
        <v/>
      </c>
      <c r="D62" s="69">
        <f>B50/B49</f>
        <v/>
      </c>
      <c r="E62" s="70">
        <f>B61*B62+C61*C62+D61*D62</f>
        <v/>
      </c>
      <c r="F62" s="6" t="n"/>
      <c r="G62" s="81" t="n"/>
      <c r="H62" s="750" t="n"/>
      <c r="I62" s="751">
        <f>IF(G62=0,,VLOOKUP(G62,'Industry Average Beta (Global)'!$A$2:$O$95,15))</f>
        <v/>
      </c>
      <c r="J62" s="752">
        <f>H62*I62</f>
        <v/>
      </c>
      <c r="K62" s="751">
        <f>IF(G62=0,,VLOOKUP(G62,'Industry Average Beta (Global)'!$A$2:$O$95,7))</f>
        <v/>
      </c>
      <c r="L62" s="188">
        <f>IF(I62=0,0,VLOOKUP(G62,'Industry Average Beta (Global)'!$A$2:$M$95,13))</f>
        <v/>
      </c>
      <c r="M62" s="658" t="n"/>
      <c r="O62" s="659" t="n"/>
    </row>
    <row r="63" ht="14.1" customHeight="1">
      <c r="G63" s="81" t="n"/>
      <c r="H63" s="750" t="n"/>
      <c r="I63" s="751">
        <f>IF(G63=0,,VLOOKUP(G63,'Industry Average Beta (Global)'!$A$2:$O$95,15))</f>
        <v/>
      </c>
      <c r="J63" s="752">
        <f>H63*I63</f>
        <v/>
      </c>
      <c r="K63" s="751">
        <f>IF(G63=0,,VLOOKUP(G63,'Industry Average Beta (Global)'!$A$2:$O$95,7))</f>
        <v/>
      </c>
      <c r="L63" s="188">
        <f>IF(I63=0,0,VLOOKUP(G63,'Industry Average Beta (Global)'!$A$2:$M$95,13))</f>
        <v/>
      </c>
      <c r="M63" s="658" t="n"/>
      <c r="O63" s="659" t="n"/>
    </row>
    <row r="64" ht="15" customHeight="1" thickBot="1">
      <c r="G64" s="90" t="inlineStr">
        <is>
          <t>Company</t>
        </is>
      </c>
      <c r="H64" s="754">
        <f>SUM(H52:H63)</f>
        <v/>
      </c>
      <c r="I64" s="755" t="n"/>
      <c r="J64" s="752">
        <f>SUM(J52:J63)</f>
        <v/>
      </c>
      <c r="K64" s="755">
        <f>K52*(J52/J64)+K53*J53/J64+K54*J54/J64+K55*J55/J64+K56*J56/J64+K57*J57/J64+K58*J58/J64+K59*J59/J64+K60*J60/J64+K61*J61/J64+K62*J62/J64+K63*J63/J64</f>
        <v/>
      </c>
      <c r="L64" s="189">
        <f>L52*(J52/J64)+L53*J53/J64+L54*J54/J64+L55*J55/J64+L56*J56/J64+L57*J57/J64+L58*J58/J64+L59*J59/J64+L60*J60/J64+L61*J61/J64+L62*J62/J64+L63*J63/J64</f>
        <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f>'Input sheet'!B34+2.37%</f>
        <v/>
      </c>
      <c r="C75" s="760">
        <f>'Input sheet'!B34+3.43%</f>
        <v/>
      </c>
      <c r="D75" s="760">
        <f>'Input sheet'!B34+4.74%</f>
        <v/>
      </c>
      <c r="E75" s="760">
        <f>'Input sheet'!B34+5.94%</f>
        <v/>
      </c>
      <c r="F75" s="760">
        <f>'Input sheet'!B34+7.77%</f>
        <v/>
      </c>
    </row>
    <row r="76">
      <c r="A76" s="439" t="inlineStr">
        <is>
          <t>Europe</t>
        </is>
      </c>
      <c r="B76" s="760">
        <f>'Input sheet'!B34+3.04%</f>
        <v/>
      </c>
      <c r="C76" s="760">
        <f>'Input sheet'!B34+4.18%</f>
        <v/>
      </c>
      <c r="D76" s="760">
        <f>'Input sheet'!B34+5.4%</f>
        <v/>
      </c>
      <c r="E76" s="760">
        <f>'Input sheet'!B34+6.87%</f>
        <v/>
      </c>
      <c r="F76" s="760">
        <f>'Input sheet'!B34+8.77%</f>
        <v/>
      </c>
    </row>
    <row r="77">
      <c r="A77" s="439" t="inlineStr">
        <is>
          <t>Global</t>
        </is>
      </c>
      <c r="B77" s="760">
        <f>'Input sheet'!B34+1.32%</f>
        <v/>
      </c>
      <c r="C77" s="760">
        <f>'Input sheet'!B34+2.45%</f>
        <v/>
      </c>
      <c r="D77" s="760">
        <f>'Input sheet'!B34+4.03%</f>
        <v/>
      </c>
      <c r="E77" s="760">
        <f>'Input sheet'!B34+4.99%</f>
        <v/>
      </c>
      <c r="F77" s="760">
        <f>'Input sheet'!B34+5.74%</f>
        <v/>
      </c>
    </row>
    <row r="78">
      <c r="A78" s="439" t="inlineStr">
        <is>
          <t>Japan</t>
        </is>
      </c>
      <c r="B78" s="760">
        <f>'Input sheet'!B34+2.6%</f>
        <v/>
      </c>
      <c r="C78" s="760">
        <f>'Input sheet'!B34+3.58%</f>
        <v/>
      </c>
      <c r="D78" s="760">
        <f>'Input sheet'!B34+4.74%</f>
        <v/>
      </c>
      <c r="E78" s="760">
        <f>'Input sheet'!B34+5.59%</f>
        <v/>
      </c>
      <c r="F78" s="760">
        <f>'Input sheet'!B34+6.83%</f>
        <v/>
      </c>
    </row>
    <row r="79">
      <c r="A79" s="439" t="inlineStr">
        <is>
          <t>US</t>
        </is>
      </c>
      <c r="B79" s="760">
        <f>'Input sheet'!B34+2.35%</f>
        <v/>
      </c>
      <c r="C79" s="760">
        <f>'Input sheet'!B34+3.67%</f>
        <v/>
      </c>
      <c r="D79" s="760">
        <f>'Input sheet'!B34+4.52%</f>
        <v/>
      </c>
      <c r="E79" s="760">
        <f>'Input sheet'!B34+4.76%</f>
        <v/>
      </c>
      <c r="F79" s="760">
        <f>'Input sheet'!B34+5.29%</f>
        <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topLeftCell="A25" workbookViewId="0">
      <selection activeCell="D42" sqref="D4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456"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605" t="inlineStr">
        <is>
          <t>NR</t>
        </is>
      </c>
      <c r="C10" s="173" t="n">
        <v>0.1054310997313879</v>
      </c>
      <c r="D10" s="119">
        <f>$B$1+E10</f>
        <v/>
      </c>
      <c r="E10" s="173" t="n">
        <v>0.1875348819700155</v>
      </c>
      <c r="F10" s="173" t="n">
        <v>0.2724561140242252</v>
      </c>
    </row>
    <row r="11" ht="15.95" customHeight="1">
      <c r="A11" s="430" t="inlineStr">
        <is>
          <t>Antigua &amp; Barbuda</t>
        </is>
      </c>
      <c r="B11" s="605"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457"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605"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605"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605"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456"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605"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605"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457" t="inlineStr">
        <is>
          <t>Guinea</t>
        </is>
      </c>
      <c r="B75" s="120" t="inlineStr">
        <is>
          <t>NR</t>
        </is>
      </c>
      <c r="C75" s="119" t="n">
        <v>0.09808221960492602</v>
      </c>
      <c r="D75" s="119">
        <f>$B$1+E75</f>
        <v/>
      </c>
      <c r="E75" s="119" t="n">
        <v>0.1316694543688566</v>
      </c>
      <c r="F75" s="119" t="n">
        <v>0.2915</v>
      </c>
    </row>
    <row r="76" ht="15.95" customHeight="1">
      <c r="A76" s="456" t="inlineStr">
        <is>
          <t>Guinea-Bissau</t>
        </is>
      </c>
      <c r="B76" s="120" t="inlineStr">
        <is>
          <t>NR</t>
        </is>
      </c>
      <c r="C76" s="119" t="n">
        <v>0.05992490701710884</v>
      </c>
      <c r="D76" s="119">
        <f>$B$1+E76</f>
        <v/>
      </c>
      <c r="E76" s="119" t="n">
        <v>0.08044556742118129</v>
      </c>
      <c r="F76" s="119" t="n">
        <v>0.2915</v>
      </c>
    </row>
    <row r="77" ht="15.95" customHeight="1">
      <c r="A77" s="457" t="inlineStr">
        <is>
          <t>Guyana</t>
        </is>
      </c>
      <c r="B77" s="120" t="inlineStr">
        <is>
          <t>NR</t>
        </is>
      </c>
      <c r="C77" s="119" t="n">
        <v>0.01741407554343334</v>
      </c>
      <c r="D77" s="119">
        <f>$B$1+E77</f>
        <v/>
      </c>
      <c r="E77" s="119" t="n">
        <v>0.02337734437880483</v>
      </c>
      <c r="F77" s="119" t="n">
        <v>0.1864</v>
      </c>
    </row>
    <row r="78" ht="15.95" customHeight="1">
      <c r="A78" s="456"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457"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456"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457" t="inlineStr">
        <is>
          <t>Liberia</t>
        </is>
      </c>
      <c r="B104" s="120" t="inlineStr">
        <is>
          <t>NR</t>
        </is>
      </c>
      <c r="C104" s="119" t="n">
        <v>0.1307336112488635</v>
      </c>
      <c r="D104" s="119">
        <f>$B$1+E104</f>
        <v/>
      </c>
      <c r="E104" s="119" t="n">
        <v>0.1755019750791156</v>
      </c>
      <c r="F104" s="119" t="n">
        <v>0.2915</v>
      </c>
    </row>
    <row r="105" ht="15.95" customHeight="1">
      <c r="A105" s="456"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457" t="inlineStr">
        <is>
          <t>Madagascar</t>
        </is>
      </c>
      <c r="B111" s="120" t="inlineStr">
        <is>
          <t>NR</t>
        </is>
      </c>
      <c r="C111" s="119" t="n">
        <v>0.07080870423175468</v>
      </c>
      <c r="D111" s="119">
        <f>$B$1+E111</f>
        <v/>
      </c>
      <c r="E111" s="119" t="n">
        <v>0.09505640765793431</v>
      </c>
      <c r="F111" s="119" t="n">
        <v>0.2</v>
      </c>
    </row>
    <row r="112" ht="15.95" customHeight="1">
      <c r="A112" s="456"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605"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605"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457"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605"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605"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605"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605"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456"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457"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456"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457"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456"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457" t="inlineStr">
        <is>
          <t>Zimbabwe</t>
        </is>
      </c>
      <c r="B195" s="120" t="inlineStr">
        <is>
          <t>NR</t>
        </is>
      </c>
      <c r="C195" s="119" t="n">
        <v>0.09808221960492602</v>
      </c>
      <c r="D195" s="119">
        <f>$B$1+E195</f>
        <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f>B7-C7+D7</f>
        <v/>
      </c>
    </row>
    <row r="8" ht="14.1" customHeight="1">
      <c r="A8" s="36" t="inlineStr">
        <is>
          <t>Technology &amp; Content</t>
        </is>
      </c>
      <c r="B8" s="774" t="n">
        <v>1221.81</v>
      </c>
      <c r="C8" s="774" t="n">
        <v>581.41</v>
      </c>
      <c r="D8" s="774" t="n">
        <v>756</v>
      </c>
      <c r="E8" s="775">
        <f>B8-C8+D8</f>
        <v/>
      </c>
    </row>
    <row r="9" ht="14.1" customHeight="1">
      <c r="A9" s="36" t="inlineStr">
        <is>
          <t>Operating income or EBIT</t>
        </is>
      </c>
      <c r="B9" s="774" t="n">
        <v>1605.23</v>
      </c>
      <c r="C9" s="774" t="n">
        <v>908.79</v>
      </c>
      <c r="D9" s="774" t="n">
        <v>1165.5</v>
      </c>
      <c r="E9" s="775">
        <f>B9-C9+D9</f>
        <v/>
      </c>
    </row>
    <row r="10" ht="14.1" customHeight="1">
      <c r="A10" s="36" t="inlineStr">
        <is>
          <t>Interest expenses</t>
        </is>
      </c>
      <c r="B10" s="774" t="n">
        <v>420.49</v>
      </c>
      <c r="C10" s="774" t="n">
        <v>182.82</v>
      </c>
      <c r="D10" s="774" t="n">
        <v>287.56</v>
      </c>
      <c r="E10" s="775">
        <f>B10-C10+D10</f>
        <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f>B41-C41+D41</f>
        <v/>
      </c>
    </row>
    <row r="42">
      <c r="A42" t="inlineStr">
        <is>
          <t>Marketing Costs</t>
        </is>
      </c>
      <c r="B42" s="605" t="n">
        <v>2369.47</v>
      </c>
      <c r="C42" s="605" t="n">
        <v>1128.78</v>
      </c>
      <c r="D42" s="605" t="n">
        <v>1219.73</v>
      </c>
      <c r="E42">
        <f>B42-C42+D42</f>
        <v/>
      </c>
    </row>
    <row r="43">
      <c r="A43" t="inlineStr">
        <is>
          <t>Content Costs</t>
        </is>
      </c>
      <c r="B43" s="605" t="n">
        <v>9967.540000000001</v>
      </c>
      <c r="C43" s="605" t="n">
        <v>4703.01</v>
      </c>
      <c r="D43" s="605" t="n">
        <v>5876.21</v>
      </c>
      <c r="E43">
        <f>B43-C43+D43</f>
        <v/>
      </c>
    </row>
    <row r="45">
      <c r="A45" t="inlineStr">
        <is>
          <t>Content Costs (Cash Flows)</t>
        </is>
      </c>
      <c r="B45" s="605" t="n">
        <v>13043</v>
      </c>
      <c r="C45" s="605" t="n">
        <v>6020.47</v>
      </c>
      <c r="D45" s="605"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2025-08-13T19:39:44Z</dcterms:modified>
  <cp:lastModifiedBy>Vitor Saito</cp:lastModifiedBy>
</cp:coreProperties>
</file>