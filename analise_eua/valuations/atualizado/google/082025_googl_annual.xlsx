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2" activeTab="0"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6">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0" fontId="11" fillId="4" borderId="13"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0" fontId="0" fillId="0" borderId="56" applyAlignment="1" pivotButton="0" quotePrefix="0" xfId="0">
      <alignment wrapText="1"/>
    </xf>
    <xf numFmtId="9" fontId="0" fillId="0" borderId="56" applyAlignment="1" pivotButton="0" quotePrefix="0" xfId="0">
      <alignment wrapText="1"/>
    </xf>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177" fontId="0" fillId="7" borderId="56"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0" fontId="64" fillId="7" borderId="5" applyAlignment="1" pivotButton="0" quotePrefix="0" xfId="0">
      <alignment horizontal="left" wrapText="1"/>
    </xf>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7" fillId="0" borderId="0" pivotButton="0" quotePrefix="0" xfId="0"/>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tabSelected="1" zoomScaleNormal="100" workbookViewId="0">
      <selection activeCell="A19" sqref="A19"/>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9">
      <c r="B1" s="244" t="n"/>
      <c r="C1" s="199" t="inlineStr">
        <is>
          <t>Input cell</t>
        </is>
      </c>
      <c r="D1" s="245" t="n"/>
      <c r="E1" s="199" t="inlineStr">
        <is>
          <t>Calculated cell</t>
        </is>
      </c>
    </row>
    <row r="2" ht="15.95" customFormat="1" customHeight="1" s="200"/>
    <row r="3" ht="15.95" customFormat="1" customHeight="1" s="200">
      <c r="A3" s="201" t="inlineStr">
        <is>
          <t>Date of valuation</t>
        </is>
      </c>
      <c r="B3" s="202" t="inlineStr">
        <is>
          <t>01/08/2025</t>
        </is>
      </c>
      <c r="C3" s="203" t="inlineStr">
        <is>
          <t>Important: Before you run this spreadsheet, go into preferences in Excel and check under Calculation options</t>
        </is>
      </c>
      <c r="D3" s="204" t="n"/>
      <c r="E3" s="204" t="n"/>
      <c r="F3" s="204" t="n"/>
      <c r="G3" s="204" t="n"/>
      <c r="H3" s="204" t="n"/>
      <c r="I3" s="204" t="n"/>
      <c r="J3" s="205" t="n"/>
    </row>
    <row r="4" ht="17.1" customFormat="1" customHeight="1" s="200" thickBot="1">
      <c r="A4" s="201" t="inlineStr">
        <is>
          <t>Company name</t>
        </is>
      </c>
      <c r="B4" s="206" t="inlineStr">
        <is>
          <t>Alphabet</t>
        </is>
      </c>
      <c r="C4" s="207" t="inlineStr">
        <is>
          <t>There should be a check against the iteration box. If there is not, you will get circular reasoning errors.</t>
        </is>
      </c>
      <c r="J4" s="208" t="n"/>
    </row>
    <row r="5" ht="17.1" customFormat="1" customHeight="1" s="200" thickBot="1">
      <c r="A5" s="619" t="inlineStr">
        <is>
          <t>Numbers from your base year below ( in consistent units)</t>
        </is>
      </c>
      <c r="B5" s="620" t="n"/>
      <c r="C5" s="620" t="n"/>
      <c r="D5" s="620" t="n"/>
      <c r="E5" s="620" t="n"/>
      <c r="F5" s="620" t="n"/>
      <c r="G5" s="620" t="n"/>
      <c r="H5" s="620" t="n"/>
      <c r="I5" s="620" t="n"/>
      <c r="J5" s="621" t="n"/>
    </row>
    <row r="6" ht="15.95" customFormat="1" customHeight="1" s="200">
      <c r="A6" s="201" t="n"/>
      <c r="B6" s="201" t="inlineStr">
        <is>
          <t>This year</t>
        </is>
      </c>
      <c r="C6" s="201" t="inlineStr">
        <is>
          <t>Last year</t>
        </is>
      </c>
      <c r="E6" s="246" t="inlineStr">
        <is>
          <t>Updated in January 2024 with updated Industry averages and risk premiums</t>
        </is>
      </c>
      <c r="F6" s="209" t="n"/>
      <c r="G6" s="209" t="n"/>
      <c r="H6" s="209" t="n"/>
      <c r="I6" s="209" t="n"/>
      <c r="J6" s="209" t="n"/>
    </row>
    <row r="7" ht="15.95" customFormat="1" customHeight="1" s="200">
      <c r="A7" s="200" t="inlineStr">
        <is>
          <t>Country of incorporation</t>
        </is>
      </c>
      <c r="B7" s="210" t="inlineStr">
        <is>
          <t>United States</t>
        </is>
      </c>
      <c r="C7" s="201" t="n"/>
    </row>
    <row r="8" ht="15.95" customFormat="1" customHeight="1" s="200">
      <c r="A8" s="200" t="inlineStr">
        <is>
          <t>Industry (US)</t>
        </is>
      </c>
      <c r="B8" s="210" t="inlineStr">
        <is>
          <t>Advertising</t>
        </is>
      </c>
    </row>
    <row r="9" ht="15.95" customFormat="1" customHeight="1" s="200">
      <c r="A9" s="200" t="inlineStr">
        <is>
          <t>Industry (Global)</t>
        </is>
      </c>
      <c r="B9" s="210" t="inlineStr">
        <is>
          <t>Advertising</t>
        </is>
      </c>
    </row>
    <row r="10" ht="15.95" customFormat="1" customHeight="1" s="200">
      <c r="B10" s="464" t="inlineStr">
        <is>
          <t>Most Recent 12 months</t>
        </is>
      </c>
      <c r="C10" s="464" t="inlineStr">
        <is>
          <t>Last 10K</t>
        </is>
      </c>
      <c r="D10" s="211" t="inlineStr">
        <is>
          <t>Years since last 10K</t>
        </is>
      </c>
    </row>
    <row r="11" ht="15.95" customFormat="1" customHeight="1" s="200">
      <c r="A11" s="212" t="inlineStr">
        <is>
          <t>Revenues</t>
        </is>
      </c>
      <c r="B11" s="622" t="n">
        <v>350018</v>
      </c>
      <c r="C11" s="622" t="n">
        <v>307394</v>
      </c>
      <c r="D11" s="210" t="n">
        <v>1</v>
      </c>
    </row>
    <row r="12" ht="15.95" customFormat="1" customHeight="1" s="200">
      <c r="A12" s="212" t="inlineStr">
        <is>
          <t>Operating income or EBIT</t>
        </is>
      </c>
      <c r="B12" s="622" t="n">
        <v>112390</v>
      </c>
      <c r="C12" s="622" t="n">
        <v>84293</v>
      </c>
      <c r="D12" s="210" t="n">
        <v>1</v>
      </c>
    </row>
    <row r="13" ht="15.95" customFormat="1" customHeight="1" s="200">
      <c r="A13" s="212" t="inlineStr">
        <is>
          <t>Interest expense</t>
        </is>
      </c>
      <c r="B13" s="622" t="n">
        <v>268</v>
      </c>
      <c r="C13" s="622" t="n">
        <v>308</v>
      </c>
      <c r="D13" s="214" t="n"/>
    </row>
    <row r="14" ht="15.95" customFormat="1" customHeight="1" s="200">
      <c r="A14" s="212" t="inlineStr">
        <is>
          <t>Book value of equity</t>
        </is>
      </c>
      <c r="B14" s="622" t="n">
        <v>325084</v>
      </c>
      <c r="C14" s="622" t="n">
        <v>283379</v>
      </c>
      <c r="D14" s="214" t="n"/>
    </row>
    <row r="15" ht="15.95" customFormat="1" customHeight="1" s="200">
      <c r="A15" s="212" t="inlineStr">
        <is>
          <t>Book value of debt</t>
        </is>
      </c>
      <c r="B15" s="622" t="n">
        <v>25461</v>
      </c>
      <c r="C15" s="622" t="n">
        <v>28867</v>
      </c>
      <c r="D15" s="214" t="n"/>
    </row>
    <row r="16" ht="15.95" customFormat="1" customHeight="1" s="200">
      <c r="A16" s="212" t="inlineStr">
        <is>
          <t>Do you have R&amp;D expenses to capitalize?</t>
        </is>
      </c>
      <c r="B16" s="623" t="inlineStr">
        <is>
          <t>Yes</t>
        </is>
      </c>
      <c r="C16" s="624" t="inlineStr">
        <is>
          <t xml:space="preserve">If you want to capitalize R&amp;D, you have to input the numbers into the R&amp;D worksheet. </t>
        </is>
      </c>
      <c r="D16" s="214" t="n"/>
    </row>
    <row r="17" ht="15.95" customFormat="1" customHeight="1" s="200">
      <c r="A17" s="212" t="inlineStr">
        <is>
          <t>Do you have operating lease commitments?</t>
        </is>
      </c>
      <c r="B17" s="623" t="inlineStr">
        <is>
          <t>No</t>
        </is>
      </c>
      <c r="C17" s="214" t="inlineStr">
        <is>
          <t>If you lease or other contractual commitments that have not been converteed to debt already, say yes to this option and do the conversion.</t>
        </is>
      </c>
      <c r="D17" s="214" t="n"/>
    </row>
    <row r="18" ht="15.95" customFormat="1" customHeight="1" s="200">
      <c r="A18" s="212" t="inlineStr">
        <is>
          <t>Cash and Marketable Securities</t>
        </is>
      </c>
      <c r="B18" s="622" t="n">
        <v>95657</v>
      </c>
      <c r="C18" s="622" t="n">
        <v>110916</v>
      </c>
      <c r="D18" s="214" t="n"/>
    </row>
    <row r="19" ht="15.95" customFormat="1" customHeight="1" s="200">
      <c r="A19" s="212" t="inlineStr">
        <is>
          <t>Cross holdings and other non-operating assets</t>
        </is>
      </c>
      <c r="B19" s="625" t="n">
        <v>37982</v>
      </c>
      <c r="C19" s="622" t="n">
        <v>31008</v>
      </c>
      <c r="D19" s="214" t="n"/>
    </row>
    <row r="20" ht="15.95" customFormat="1" customHeight="1" s="200">
      <c r="A20" s="212" t="inlineStr">
        <is>
          <t>Minority interests</t>
        </is>
      </c>
      <c r="B20" s="625" t="n">
        <v>0</v>
      </c>
      <c r="C20" s="622" t="n">
        <v>0</v>
      </c>
      <c r="D20" s="214" t="n"/>
    </row>
    <row r="21" ht="15.95" customFormat="1" customHeight="1" s="200">
      <c r="A21" s="212" t="inlineStr">
        <is>
          <t>Number of shares outstanding =</t>
        </is>
      </c>
      <c r="B21" s="217" t="n">
        <v>12447</v>
      </c>
      <c r="C21" s="214" t="n"/>
      <c r="E21" s="465" t="inlineStr">
        <is>
          <t>Computed numbers: Here is what your company's numbers look like, relative to industry.</t>
        </is>
      </c>
    </row>
    <row r="22" ht="15.95" customFormat="1" customHeight="1" s="200">
      <c r="A22" s="212" t="inlineStr">
        <is>
          <t>Current stock price =</t>
        </is>
      </c>
      <c r="B22" s="622" t="n">
        <v>208.5800018310547</v>
      </c>
      <c r="C22" s="214" t="n"/>
      <c r="E22" s="235" t="inlineStr">
        <is>
          <t>If you are not working in US dollars, you should add the inflation differential to the industry averages.</t>
        </is>
      </c>
    </row>
    <row r="23" ht="15.95" customFormat="1" customHeight="1" s="200">
      <c r="A23" s="200" t="inlineStr">
        <is>
          <t>Effective tax rate =</t>
        </is>
      </c>
      <c r="B23" s="218" t="n">
        <v>0.1644</v>
      </c>
      <c r="C23" s="214" t="n"/>
      <c r="E23" s="201" t="n"/>
      <c r="J23" s="211" t="inlineStr">
        <is>
          <t>Industry (US)</t>
        </is>
      </c>
      <c r="K23" s="211" t="inlineStr">
        <is>
          <t>Industry (Global)</t>
        </is>
      </c>
      <c r="L23" s="464" t="inlineStr">
        <is>
          <t>Global Distribution Stats</t>
        </is>
      </c>
      <c r="M23" s="626" t="n"/>
      <c r="N23" s="627" t="n"/>
    </row>
    <row r="24" ht="15.95" customFormat="1" customHeight="1" s="200">
      <c r="A24" s="200" t="inlineStr">
        <is>
          <t>Marginal tax rate =</t>
        </is>
      </c>
      <c r="B24" s="218" t="n">
        <v>0.25</v>
      </c>
      <c r="C24" s="214" t="n"/>
      <c r="E24" s="201" t="n"/>
      <c r="I24" s="447" t="inlineStr">
        <is>
          <t>Company</t>
        </is>
      </c>
      <c r="J24" s="464" t="inlineStr">
        <is>
          <t>Average</t>
        </is>
      </c>
      <c r="K24" s="464" t="inlineStr">
        <is>
          <t>Average</t>
        </is>
      </c>
      <c r="L24" s="464" t="inlineStr">
        <is>
          <t>1st Quartile</t>
        </is>
      </c>
      <c r="M24" s="464" t="inlineStr">
        <is>
          <t>Median</t>
        </is>
      </c>
      <c r="N24" s="464" t="inlineStr">
        <is>
          <t>3rd Quartile</t>
        </is>
      </c>
    </row>
    <row r="25" ht="15.95" customFormat="1" customHeight="1" s="200">
      <c r="A25" s="201" t="inlineStr">
        <is>
          <t>The value drivers below:</t>
        </is>
      </c>
      <c r="B25" s="628" t="n"/>
      <c r="C25" s="214" t="n"/>
      <c r="E25" s="200" t="inlineStr">
        <is>
          <t>Revenue growth in the most recent year =</t>
        </is>
      </c>
      <c r="I25" s="388">
        <f>IF(C11&gt;0,(B11/C11)^(1/D11)-1, "NA")</f>
        <v/>
      </c>
      <c r="J25" s="388">
        <f>VLOOKUP(B8,'Industry Averages(US)'!A2:S95,3)</f>
        <v/>
      </c>
      <c r="K25" s="387">
        <f>VLOOKUP(B9,'Industry Average Beta (Global)'!A2:N95,3)</f>
        <v/>
      </c>
      <c r="L25" s="386">
        <f>VLOOKUP($B$9,'Input Stat Distributioons'!$A$3:$R$96,3,FALSE)</f>
        <v/>
      </c>
      <c r="M25" s="386">
        <f>VLOOKUP($B$9,'Input Stat Distributioons'!$A$3:$R$96,4,FALSE)</f>
        <v/>
      </c>
      <c r="N25" s="386">
        <f>VLOOKUP($B$9,'Input Stat Distributioons'!$A$3:$R$96,5,FALSE)</f>
        <v/>
      </c>
    </row>
    <row r="26" ht="15.95" customFormat="1" customHeight="1" s="200">
      <c r="A26" s="222" t="inlineStr">
        <is>
          <t xml:space="preserve">Revenue growth rate for next year </t>
        </is>
      </c>
      <c r="B26" s="223" t="n">
        <v>0.08</v>
      </c>
      <c r="C26" s="214" t="inlineStr">
        <is>
          <t>Growth Lever - Next year</t>
        </is>
      </c>
      <c r="E26" s="200" t="inlineStr">
        <is>
          <t>Pre-tax operating margin in the most recent year =</t>
        </is>
      </c>
      <c r="I26" s="388">
        <f>'Valuation output'!B4</f>
        <v/>
      </c>
      <c r="J26" s="387">
        <f>VLOOKUP(B8,'Industry Averages(US)'!A2:AA95,4)</f>
        <v/>
      </c>
      <c r="K26" s="387">
        <f>VLOOKUP(B9,'Industry Average Beta (Global)'!A2:N95,4)</f>
        <v/>
      </c>
      <c r="L26" s="387">
        <f>VLOOKUP($B$9,'Input Stat Distributioons'!$A$3:$R$96,6,FALSE)</f>
        <v/>
      </c>
      <c r="M26" s="387">
        <f>VLOOKUP($B$9,'Input Stat Distributioons'!$A$3:$R$96,7,FALSE)</f>
        <v/>
      </c>
      <c r="N26" s="387">
        <f>VLOOKUP($B$9,'Input Stat Distributioons'!$A$3:$R$96,8,FALSE)</f>
        <v/>
      </c>
    </row>
    <row r="27" ht="15.95" customFormat="1" customHeight="1" s="200">
      <c r="A27" s="222" t="inlineStr">
        <is>
          <t>Operating Margin for next year</t>
        </is>
      </c>
      <c r="B27" s="223" t="n">
        <v>0.32</v>
      </c>
      <c r="C27" s="214" t="inlineStr">
        <is>
          <t>Profitability Lever - Next year</t>
        </is>
      </c>
      <c r="E27" s="200" t="inlineStr">
        <is>
          <t>Sales to capital ratio in most recent year =</t>
        </is>
      </c>
      <c r="I27" s="389">
        <f>B11/'Valuation output'!B39</f>
        <v/>
      </c>
      <c r="J27" s="389">
        <f>VLOOKUP(B8,'Industry Averages(US)'!A2:S95,14)</f>
        <v/>
      </c>
      <c r="K27" s="389">
        <f>VLOOKUP(B9,'Industry Average Beta (Global)'!A2:N95,14)</f>
        <v/>
      </c>
      <c r="L27" s="389">
        <f>VLOOKUP($B$9,'Input Stat Distributioons'!$A$3:$R$96,9,FALSE)</f>
        <v/>
      </c>
      <c r="M27" s="389">
        <f>VLOOKUP($B$9,'Input Stat Distributioons'!$A$3:$R$96,10,FALSE)</f>
        <v/>
      </c>
      <c r="N27" s="389">
        <f>VLOOKUP($B$9,'Input Stat Distributioons'!$A$3:$R$96,11,FALSE)</f>
        <v/>
      </c>
    </row>
    <row r="28" ht="15.95" customFormat="1" customHeight="1" s="200">
      <c r="A28" s="212" t="inlineStr">
        <is>
          <t>Compounded annual revenue growth rate - years 2-5 =</t>
        </is>
      </c>
      <c r="B28" s="224" t="n">
        <v>0.08</v>
      </c>
      <c r="C28" s="214" t="inlineStr">
        <is>
          <t>Growth Lever - Long term</t>
        </is>
      </c>
      <c r="E28" s="200" t="inlineStr">
        <is>
          <t>Marginal sales to capital ratio  =</t>
        </is>
      </c>
      <c r="I28" s="389">
        <f>IF(('Input sheet'!B11-'Input sheet'!C11)/(('Input sheet'!B14+'Input sheet'!B15-'Input sheet'!B18)-('Input sheet'!C14+'Input sheet'!C15-'Input sheet'!C18))&gt;0,('Input sheet'!B11-'Input sheet'!C11)/(('Input sheet'!B14+'Input sheet'!B15-'Input sheet'!B18)-('Input sheet'!C14+'Input sheet'!C15-'Input sheet'!C18)),"NA")</f>
        <v/>
      </c>
      <c r="J28" s="389" t="n"/>
      <c r="K28" s="389" t="n"/>
      <c r="L28" s="392" t="n"/>
      <c r="M28" s="392" t="n"/>
      <c r="N28" s="392" t="n"/>
    </row>
    <row r="29" ht="15.95" customFormat="1" customHeight="1" s="200">
      <c r="A29" s="212" t="inlineStr">
        <is>
          <t>Target pre-tax operating margin =</t>
        </is>
      </c>
      <c r="B29" s="224" t="n">
        <v>0.3</v>
      </c>
      <c r="C29" s="214" t="inlineStr">
        <is>
          <t>Profitability Lever - Long term</t>
        </is>
      </c>
      <c r="E29" s="200" t="inlineStr">
        <is>
          <t>Return on invested capital in most recent year=</t>
        </is>
      </c>
      <c r="I29" s="387">
        <f>'Valuation output'!B7/'Valuation output'!B39</f>
        <v/>
      </c>
      <c r="J29" s="387">
        <f>VLOOKUP(B8,'Industry Averages(US)'!A2:S95,5)</f>
        <v/>
      </c>
      <c r="K29" s="387">
        <f>VLOOKUP(B9,'Industry Average Beta (Global)'!A2:N95,5)</f>
        <v/>
      </c>
    </row>
    <row r="30" ht="15.95" customFormat="1" customHeight="1" s="200">
      <c r="A30" s="212" t="inlineStr">
        <is>
          <t>Year of convergence for margin</t>
        </is>
      </c>
      <c r="B30" s="226" t="n">
        <v>5</v>
      </c>
      <c r="C30" s="214" t="inlineStr">
        <is>
          <t>Speed of convergence level</t>
        </is>
      </c>
      <c r="E30" s="200" t="inlineStr">
        <is>
          <t>Standard deviation in stock prices =</t>
        </is>
      </c>
      <c r="I30" s="225" t="n"/>
      <c r="J30" s="387">
        <f>VLOOKUP(B8,'Industry Averages(US)'!A2:S95,10)</f>
        <v/>
      </c>
      <c r="K30" s="387">
        <f>VLOOKUP(B8,'Industry Average Beta (Global)'!A2:Z95,10)</f>
        <v/>
      </c>
    </row>
    <row r="31" ht="15.95" customFormat="1" customHeight="1" s="200">
      <c r="A31" s="212" t="inlineStr">
        <is>
          <t>Sales to capital ratio  (for years 1-5)</t>
        </is>
      </c>
      <c r="B31" s="226" t="n">
        <v>1.2</v>
      </c>
      <c r="C31" s="214" t="inlineStr">
        <is>
          <t>Efficency of Growth Lever (first 5 years)</t>
        </is>
      </c>
      <c r="E31" s="200" t="inlineStr">
        <is>
          <t>Cost of capital =</t>
        </is>
      </c>
      <c r="J31" s="387">
        <f>VLOOKUP(B8,'Industry Averages(US)'!A2:S95,13)</f>
        <v/>
      </c>
      <c r="K31" s="387">
        <f>VLOOKUP(B8,'Industry Average Beta (Global)'!A2:Z95,13)</f>
        <v/>
      </c>
      <c r="L31" s="387">
        <f>VLOOKUP($B$9,'Input Stat Distributioons'!$A$3:$R$96,12,FALSE)</f>
        <v/>
      </c>
      <c r="M31" s="387">
        <f>VLOOKUP($B$9,'Input Stat Distributioons'!$A$3:$R$96,13,FALSE)</f>
        <v/>
      </c>
      <c r="N31" s="387">
        <f>VLOOKUP($B$9,'Input Stat Distributioons'!$A$3:$R$96,14,FALSE)</f>
        <v/>
      </c>
    </row>
    <row r="32" ht="17.1" customFormat="1" customHeight="1" s="200" thickBot="1">
      <c r="A32" s="212" t="inlineStr">
        <is>
          <t>Sales to capital ratio (for years 6-10)</t>
        </is>
      </c>
      <c r="B32" s="226" t="n">
        <v>1.2</v>
      </c>
      <c r="C32" s="214" t="inlineStr">
        <is>
          <t>Efficency of Growth Lever (years 6-10)</t>
        </is>
      </c>
    </row>
    <row r="33" ht="15.95" customFormat="1" customHeight="1" s="200">
      <c r="A33" s="201" t="inlineStr">
        <is>
          <t xml:space="preserve">Market numbers </t>
        </is>
      </c>
      <c r="B33" s="229" t="n"/>
      <c r="C33" s="214" t="n"/>
      <c r="E33" s="629" t="inlineStr">
        <is>
          <t>Valuation Output Feedback (for you to use to fine tune your inputs, if you want)</t>
        </is>
      </c>
      <c r="F33" s="630" t="n"/>
      <c r="G33" s="630" t="n"/>
      <c r="H33" s="630" t="n"/>
      <c r="I33" s="630" t="n"/>
      <c r="J33" s="631" t="n"/>
    </row>
    <row r="34" ht="15.95" customFormat="1" customHeight="1" s="200">
      <c r="A34" s="212" t="inlineStr">
        <is>
          <t>Riskfree rate</t>
        </is>
      </c>
      <c r="B34" s="224" t="n">
        <v>0.0428</v>
      </c>
      <c r="C34" s="214" t="n"/>
      <c r="E34" s="220" t="inlineStr">
        <is>
          <t>Revenues in year 10, based on your revenue growth =</t>
        </is>
      </c>
      <c r="J34" s="632">
        <f>'Valuation output'!M3</f>
        <v/>
      </c>
    </row>
    <row r="35" ht="24.95" customFormat="1" customHeight="1" s="200">
      <c r="A35" s="381" t="inlineStr">
        <is>
          <t>Initial cost of capital =</t>
        </is>
      </c>
      <c r="B35" s="382">
        <f>'Cost of capital worksheet'!B13</f>
        <v/>
      </c>
      <c r="C35" s="633" t="inlineStr">
        <is>
          <t>Do not input. Go to cost of capital sheet.</t>
        </is>
      </c>
      <c r="D35" s="634" t="n"/>
      <c r="E35" s="220" t="inlineStr">
        <is>
          <t>Pre-tax Operating Income in year 10, based on your operating margin =</t>
        </is>
      </c>
      <c r="J35" s="632">
        <f>'Valuation output'!M5</f>
        <v/>
      </c>
    </row>
    <row r="36" ht="15.95" customFormat="1" customHeight="1" s="200">
      <c r="A36" s="201" t="inlineStr">
        <is>
          <t>Other inputs</t>
        </is>
      </c>
      <c r="B36" s="231" t="n"/>
      <c r="C36" s="231" t="n"/>
      <c r="D36" s="214" t="n"/>
      <c r="E36" s="220" t="inlineStr">
        <is>
          <t>Return on invested capital in year 10, based on your sales/capital ratio =</t>
        </is>
      </c>
      <c r="J36" s="221">
        <f>'Valuation output'!L40</f>
        <v/>
      </c>
    </row>
    <row r="37" ht="17.1" customFormat="1" customHeight="1" s="200" thickBot="1">
      <c r="A37" s="200" t="inlineStr">
        <is>
          <t>Do you have employee options outstanding?</t>
        </is>
      </c>
      <c r="B37" s="623" t="inlineStr">
        <is>
          <t>No</t>
        </is>
      </c>
      <c r="C37" s="198" t="n"/>
      <c r="D37" s="214" t="n"/>
      <c r="E37" s="361" t="inlineStr">
        <is>
          <t>Check the Diagnostics worksheet for more details.</t>
        </is>
      </c>
      <c r="F37" s="227" t="n"/>
      <c r="G37" s="227" t="n"/>
      <c r="H37" s="227" t="n"/>
      <c r="I37" s="227" t="n"/>
      <c r="J37" s="230" t="n"/>
    </row>
    <row r="38" ht="15.95" customFormat="1" customHeight="1" s="200">
      <c r="A38" s="200" t="inlineStr">
        <is>
          <t>Number of options outstanding =</t>
        </is>
      </c>
      <c r="B38" s="226" t="n">
        <v>7.72</v>
      </c>
      <c r="C38" s="232" t="n"/>
      <c r="D38" s="214" t="n"/>
    </row>
    <row r="39" ht="15.95" customFormat="1" customHeight="1" s="235">
      <c r="A39" s="200" t="inlineStr">
        <is>
          <t>Average strike price =</t>
        </is>
      </c>
      <c r="B39" s="635" t="n">
        <v>1.29</v>
      </c>
      <c r="C39" s="636" t="n"/>
      <c r="D39" s="214" t="n"/>
      <c r="E39" s="200" t="n"/>
      <c r="F39" s="200" t="n"/>
      <c r="G39" s="200" t="n"/>
      <c r="H39" s="200" t="n"/>
      <c r="I39" s="200" t="n"/>
      <c r="J39" s="200" t="n"/>
      <c r="K39" s="200" t="n"/>
      <c r="L39" s="200" t="n"/>
      <c r="M39" s="200" t="n"/>
      <c r="N39" s="200" t="n"/>
    </row>
    <row r="40" ht="15.95" customFormat="1" customHeight="1" s="200">
      <c r="A40" s="200" t="inlineStr">
        <is>
          <t>Average maturity =</t>
        </is>
      </c>
      <c r="B40" s="226" t="n">
        <v>7</v>
      </c>
      <c r="C40" s="232" t="n"/>
      <c r="D40" s="214" t="n"/>
    </row>
    <row r="41" ht="15.95" customFormat="1" customHeight="1" s="200">
      <c r="A41" s="200" t="inlineStr">
        <is>
          <t>Standard deviation on stock price =</t>
        </is>
      </c>
      <c r="B41" s="224" t="n">
        <v>0.45</v>
      </c>
      <c r="C41" s="214" t="n"/>
      <c r="E41" s="235" t="n"/>
      <c r="F41" s="235" t="n"/>
      <c r="G41" s="235" t="n"/>
    </row>
    <row r="42" ht="15.95" customFormat="1" customHeight="1" s="235">
      <c r="A42" s="200" t="n"/>
      <c r="B42" s="236" t="n"/>
      <c r="C42" s="231" t="n"/>
      <c r="D42" s="214" t="n"/>
      <c r="E42" s="200" t="n"/>
      <c r="F42" s="200" t="n"/>
      <c r="G42" s="200" t="n"/>
      <c r="H42" s="200" t="n"/>
      <c r="I42" s="200" t="n"/>
      <c r="J42" s="200" t="n"/>
      <c r="K42" s="200" t="n"/>
      <c r="L42" s="200" t="n"/>
      <c r="M42" s="200" t="n"/>
      <c r="N42" s="200" t="n"/>
    </row>
    <row r="43" ht="15.95" customFormat="1" customHeight="1" s="200">
      <c r="A43" s="603" t="inlineStr">
        <is>
          <t xml:space="preserve">Default assumptions. </t>
        </is>
      </c>
      <c r="C43" s="237" t="n"/>
      <c r="D43" s="214" t="n"/>
      <c r="N43" s="235" t="n"/>
    </row>
    <row r="44" ht="15.95" customFormat="1" customHeight="1" s="200">
      <c r="A44" s="235" t="inlineStr">
        <is>
          <t>In stable growth, I will assume that your firm will have a cost of capital similar to that of typical mature companies (riskfree rate + 4.5%)</t>
        </is>
      </c>
      <c r="B44" s="235" t="n"/>
      <c r="C44" s="238" t="n"/>
      <c r="D44" s="214" t="n"/>
      <c r="E44" s="235" t="n"/>
      <c r="F44" s="235" t="n"/>
      <c r="G44" s="235" t="n"/>
      <c r="H44" s="235" t="n"/>
      <c r="I44" s="235" t="n"/>
      <c r="J44" s="235" t="n"/>
      <c r="K44" s="235" t="n"/>
      <c r="L44" s="235" t="n"/>
      <c r="M44" s="235" t="n"/>
    </row>
    <row r="45" ht="15.95" customFormat="1" customHeight="1" s="200">
      <c r="A45" s="200" t="inlineStr">
        <is>
          <t>Do you want to override this assumption =</t>
        </is>
      </c>
      <c r="B45" s="637" t="inlineStr">
        <is>
          <t>Yes</t>
        </is>
      </c>
      <c r="C45" s="214" t="inlineStr">
        <is>
          <t>Mature companies generally see their risk levels approach the average</t>
        </is>
      </c>
    </row>
    <row r="46" ht="15.95" customFormat="1" customHeight="1" s="200">
      <c r="A46" s="200" t="inlineStr">
        <is>
          <t>If yes, enter the cost of capital after year 10 =</t>
        </is>
      </c>
      <c r="B46" s="224" t="n">
        <v>0.08</v>
      </c>
      <c r="C46" s="214" t="inlineStr">
        <is>
          <t>Though some sectors, even in stable growth, may have higher risk. If you change your risk free rate after year 10 (see cell B57 &amp; 58), you should incorporate the change into your stable cost of capital estimate.</t>
        </is>
      </c>
      <c r="N46" s="235" t="n"/>
    </row>
    <row r="47" ht="15.95" customFormat="1" customHeight="1" s="200">
      <c r="A47" s="235" t="inlineStr">
        <is>
          <t>I will assume that your firm will earn a return on capital equal to its cost of capital after year 10. I am assuming that whatever competitive advantages you have today will fade over time.</t>
        </is>
      </c>
      <c r="B47" s="235" t="n"/>
      <c r="C47" s="214" t="n"/>
      <c r="D47" s="235" t="n"/>
      <c r="H47" s="235" t="n"/>
      <c r="I47" s="235" t="n"/>
      <c r="J47" s="235" t="n"/>
      <c r="K47" s="235" t="n"/>
      <c r="L47" s="235" t="n"/>
      <c r="M47" s="235" t="n"/>
    </row>
    <row r="48" ht="15.95" customFormat="1" customHeight="1" s="200">
      <c r="A48" s="200" t="inlineStr">
        <is>
          <t>Do you want to override this assumption =</t>
        </is>
      </c>
      <c r="B48" s="637" t="inlineStr">
        <is>
          <t>Yes</t>
        </is>
      </c>
      <c r="C48" s="214" t="inlineStr">
        <is>
          <t>Mature companies find it difficult to generate returns that exceed the cost of capital</t>
        </is>
      </c>
    </row>
    <row r="49" ht="15.95" customFormat="1" customHeight="1" s="200">
      <c r="A49" s="200" t="inlineStr">
        <is>
          <t>If yes, enter the return on capital you expect after year 10</t>
        </is>
      </c>
      <c r="B49" s="239" t="n">
        <v>0.15</v>
      </c>
      <c r="C49" s="214" t="inlineStr">
        <is>
          <t>But there are significant exceptions among companies with long-lasting competitive advantages.</t>
        </is>
      </c>
    </row>
    <row r="50" ht="15.95" customFormat="1" customHeight="1" s="200">
      <c r="A50" s="235" t="inlineStr">
        <is>
          <t>I will assume that your firm has no chance of failure over the foreseeable future.</t>
        </is>
      </c>
      <c r="C50" s="214" t="n"/>
    </row>
    <row r="51" ht="15.95" customFormat="1" customHeight="1" s="200">
      <c r="A51" s="200" t="inlineStr">
        <is>
          <t>Do you want to override this assumption =</t>
        </is>
      </c>
      <c r="B51" s="637" t="inlineStr">
        <is>
          <t>No</t>
        </is>
      </c>
      <c r="C51" s="214" t="inlineStr">
        <is>
          <t>Many young, growth companies fail, especially if they have trouble raising cash. Many distressed companies fail, because they have trouble making debt payments.</t>
        </is>
      </c>
    </row>
    <row r="52" ht="15.95" customFormat="1" customHeight="1" s="200">
      <c r="A52" s="200" t="inlineStr">
        <is>
          <t>If yes, enter the probability of failure =</t>
        </is>
      </c>
      <c r="B52" s="239" t="n">
        <v>0.12</v>
      </c>
      <c r="C52" s="214" t="inlineStr">
        <is>
          <t>Tough to estimate but a key input. Use the failure rate worksheet, if necessary.</t>
        </is>
      </c>
    </row>
    <row r="53" ht="15.95" customFormat="1" customHeight="1" s="200">
      <c r="A53" s="200" t="inlineStr">
        <is>
          <t>What do you want to tie your proceeds in failure to?</t>
        </is>
      </c>
      <c r="B53" s="239" t="inlineStr">
        <is>
          <t>V</t>
        </is>
      </c>
      <c r="C53" s="214" t="inlineStr">
        <is>
          <t>B: Book value of capital, V= Estimated fair value for the company</t>
        </is>
      </c>
    </row>
    <row r="54" ht="15.95" customFormat="1" customHeight="1" s="200">
      <c r="A54" s="200" t="inlineStr">
        <is>
          <t>Enter the distress proceeds as percentage of book or fair value</t>
        </is>
      </c>
      <c r="B54" s="239" t="n">
        <v>0.5</v>
      </c>
      <c r="C54" s="214" t="inlineStr">
        <is>
          <t>This can be zero, if the assets will be worth nothing if the firm fails.</t>
        </is>
      </c>
    </row>
    <row r="55" ht="15.95" customFormat="1" customHeight="1" s="200">
      <c r="A55" s="200" t="inlineStr">
        <is>
          <t>I assume that reinvestment in a year translates into growth in the next year, i.e., there is a one year lag between reinvesting and generating growth from that reinvestment.</t>
        </is>
      </c>
      <c r="B55" s="393" t="n"/>
      <c r="C55" s="214" t="n"/>
    </row>
    <row r="56" ht="15.95" customFormat="1" customHeight="1" s="200">
      <c r="A56" s="200" t="inlineStr">
        <is>
          <t>Do you want override this assumption =</t>
        </is>
      </c>
      <c r="B56" s="637" t="inlineStr">
        <is>
          <t>No</t>
        </is>
      </c>
      <c r="C56" s="214" t="n"/>
    </row>
    <row r="57" ht="15.95" customFormat="1" customHeight="1" s="200">
      <c r="A57" s="200" t="inlineStr">
        <is>
          <t>If yes, enter a different lag (0 = no lag to 3 = lag of 3 years)</t>
        </is>
      </c>
      <c r="B57" s="394" t="n">
        <v>1</v>
      </c>
      <c r="C57" s="214" t="n"/>
    </row>
    <row r="58" ht="15.95" customFormat="1" customHeight="1" s="200">
      <c r="A58" s="235" t="inlineStr">
        <is>
          <t>I will assume that your effective tax rate will adjust to your marginal tax rate by your terminal year. If you override this assumption, I will leave the tax rate at your effective tax rate.</t>
        </is>
      </c>
      <c r="B58" s="240" t="n"/>
      <c r="C58" s="214" t="n"/>
    </row>
    <row r="59" ht="15.95" customFormat="1" customHeight="1" s="200">
      <c r="A59" s="200" t="inlineStr">
        <is>
          <t>Do you want to override this assumption =</t>
        </is>
      </c>
      <c r="B59" s="623" t="inlineStr">
        <is>
          <t>No</t>
        </is>
      </c>
      <c r="C59" s="214" t="n"/>
    </row>
    <row r="60" ht="15.95" customFormat="1" customHeight="1" s="200">
      <c r="A60" s="235" t="inlineStr">
        <is>
          <t>I will assume that you have no losses carried forward from prior years ( NOL) coming into the valuation. If you have a money losing company, you may want to override tis.</t>
        </is>
      </c>
      <c r="C60" s="214" t="n"/>
    </row>
    <row r="61" ht="15.95" customFormat="1" customHeight="1" s="200">
      <c r="A61" s="200" t="inlineStr">
        <is>
          <t>Do you want to override this assumption =</t>
        </is>
      </c>
      <c r="B61" s="637" t="inlineStr">
        <is>
          <t>No</t>
        </is>
      </c>
      <c r="C61" s="214" t="inlineStr">
        <is>
          <t>Check the financial statements.</t>
        </is>
      </c>
    </row>
    <row r="62" ht="15.95" customFormat="1" customHeight="1" s="200">
      <c r="A62" s="200" t="inlineStr">
        <is>
          <t>If yes, enter the NOL that you are carrying over into year 1</t>
        </is>
      </c>
      <c r="B62" s="635">
        <f>474.8+256.6</f>
        <v/>
      </c>
      <c r="C62" s="214" t="inlineStr">
        <is>
          <t>An NOL will shield your income from taxes, even after you start making money.</t>
        </is>
      </c>
    </row>
    <row r="63" ht="15.95" customFormat="1" customHeight="1" s="200">
      <c r="A63" s="200" t="inlineStr">
        <is>
          <t>I will asssume that today's risk free rate will prevail in perpetuity. If you override this assumption, I will change the riskfree rate after year 10.</t>
        </is>
      </c>
      <c r="B63" s="638" t="n"/>
      <c r="C63" s="214" t="n"/>
    </row>
    <row r="64" ht="15.95" customFormat="1" customHeight="1" s="235">
      <c r="A64" s="200" t="inlineStr">
        <is>
          <t>Do you want to override this assumption =</t>
        </is>
      </c>
      <c r="B64" s="637" t="inlineStr">
        <is>
          <t>No</t>
        </is>
      </c>
      <c r="C64" s="214" t="inlineStr">
        <is>
          <t>If yes, you will be asked to enter a normal risk free rate and your growth in perpetuity will be adjusted accordingly.</t>
        </is>
      </c>
      <c r="D64" s="200" t="n"/>
      <c r="E64" s="200" t="n"/>
      <c r="F64" s="200" t="n"/>
      <c r="G64" s="200" t="n"/>
      <c r="H64" s="200" t="n"/>
      <c r="I64" s="200" t="n"/>
      <c r="J64" s="200" t="n"/>
      <c r="K64" s="200" t="n"/>
      <c r="L64" s="200" t="n"/>
      <c r="M64" s="200" t="n"/>
      <c r="N64" s="200" t="n"/>
    </row>
    <row r="65" ht="15.95" customFormat="1" customHeight="1" s="200">
      <c r="A65" s="200" t="inlineStr">
        <is>
          <t>If yes, enter the riskfree rate after year 10</t>
        </is>
      </c>
      <c r="B65" s="242" t="n">
        <v>0.02</v>
      </c>
      <c r="C65" s="214" t="inlineStr">
        <is>
          <t>Enter your estimate of what the riskfree rate (in your currency of choice) will be after year 10</t>
        </is>
      </c>
    </row>
    <row r="66" ht="15.95" customFormat="1" customHeight="1" s="200">
      <c r="A66" s="200" t="inlineStr">
        <is>
          <t>I will assume that the growth rate in perpetuity will be equal to the risk free rate. This allows for both valuation consistency and prevents "impossible" growth rates.</t>
        </is>
      </c>
      <c r="B66" s="636" t="n"/>
      <c r="C66" s="214" t="n"/>
      <c r="E66" s="235" t="n"/>
      <c r="F66" s="235" t="n"/>
      <c r="G66" s="235" t="n"/>
      <c r="H66" s="235" t="n"/>
      <c r="I66" s="235" t="n"/>
      <c r="J66" s="235" t="n"/>
      <c r="K66" s="235" t="n"/>
      <c r="L66" s="235" t="n"/>
      <c r="M66" s="235" t="n"/>
      <c r="N66" s="235" t="n"/>
    </row>
    <row r="67" ht="15.95" customFormat="1" customHeight="1" s="200">
      <c r="A67" s="200" t="inlineStr">
        <is>
          <t>Do you want to override this assumption =</t>
        </is>
      </c>
      <c r="B67" s="637" t="inlineStr">
        <is>
          <t>No</t>
        </is>
      </c>
      <c r="C67" s="214" t="inlineStr">
        <is>
          <t>This is an option to let you use a negative growth rate in perpetuity or to even liquidate the firm.</t>
        </is>
      </c>
    </row>
    <row r="68" ht="15.95" customFormat="1" customHeight="1" s="200">
      <c r="A68" s="200" t="inlineStr">
        <is>
          <t>If yes, enter the growth rate in perpetuity</t>
        </is>
      </c>
      <c r="B68" s="242" t="n">
        <v>-0.05</v>
      </c>
      <c r="C68" s="214" t="inlineStr">
        <is>
          <t>This can be negative, if you feel the company will decline (and disappear) after growth is done. If you let it exceed the risk free rate, you are on your own in uncharted territory.</t>
        </is>
      </c>
    </row>
    <row r="69" ht="15.95" customFormat="1" customHeight="1" s="200">
      <c r="A69" s="235" t="inlineStr">
        <is>
          <t>I have assumed that none of the cash is trapped (in foreign countries) and that there is no additional tax liability coming due and that cash is a neutral asset.</t>
        </is>
      </c>
      <c r="B69" s="235" t="n"/>
      <c r="C69" s="235" t="n"/>
      <c r="D69" s="235" t="n"/>
    </row>
    <row r="70" ht="15.95" customFormat="1" customHeight="1" s="200">
      <c r="A70" s="200" t="inlineStr">
        <is>
          <t>Do you want to override this assumption</t>
        </is>
      </c>
      <c r="B70" s="637" t="inlineStr">
        <is>
          <t>No</t>
        </is>
      </c>
    </row>
    <row r="71" ht="15.95" customFormat="1" customHeight="1" s="200">
      <c r="A71" s="200" t="inlineStr">
        <is>
          <t>If yes, enter trapped cash (if taxes) or entire balance (if mistrust)</t>
        </is>
      </c>
      <c r="B71" s="639" t="n">
        <v>140000</v>
      </c>
      <c r="C71" s="214" t="inlineStr">
        <is>
          <t>Cash that is trapped in foreign markets (and subject to additoinal tax) or cash that is being discounted by the market (because of management mistrust)</t>
        </is>
      </c>
    </row>
    <row r="72" ht="15.95" customFormat="1" customHeight="1" s="200">
      <c r="A72" s="212" t="inlineStr">
        <is>
          <t>&amp; Average tax rate of the foreign markets where the cash is trapped</t>
        </is>
      </c>
      <c r="B72" s="239" t="n">
        <v>0.15</v>
      </c>
      <c r="C72" s="214" t="inlineStr">
        <is>
          <t>Additional tax rate due on trapped cash or discount being applied to cash balance because of mistrust.</t>
        </is>
      </c>
    </row>
    <row r="73" ht="15.95" customHeight="1">
      <c r="A73" s="77" t="n"/>
      <c r="E73" s="200" t="n"/>
      <c r="F73" s="200" t="n"/>
      <c r="G73" s="200" t="n"/>
      <c r="H73" s="200" t="n"/>
      <c r="I73" s="200" t="n"/>
      <c r="J73" s="200" t="n"/>
      <c r="K73" s="200" t="n"/>
      <c r="L73" s="200" t="n"/>
      <c r="M73" s="200" t="n"/>
      <c r="N73" s="200" t="n"/>
    </row>
    <row r="74" ht="15.95" customHeight="1">
      <c r="E74" s="200" t="n"/>
      <c r="F74" s="200" t="n"/>
      <c r="G74" s="200" t="n"/>
      <c r="H74" s="200" t="n"/>
      <c r="I74" s="200" t="n"/>
      <c r="J74" s="200" t="n"/>
      <c r="K74" s="200" t="n"/>
      <c r="L74" s="200" t="n"/>
      <c r="M74" s="200" t="n"/>
      <c r="N74" s="200"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40">
        <f>'Input sheet'!B11</f>
        <v/>
      </c>
      <c r="C3" s="641">
        <f>B3*(1+C2)</f>
        <v/>
      </c>
      <c r="D3" s="641">
        <f>C3*(1+D2)</f>
        <v/>
      </c>
      <c r="E3" s="641">
        <f>D3*(1+E2)</f>
        <v/>
      </c>
      <c r="F3" s="641">
        <f>E3*(1+F2)</f>
        <v/>
      </c>
      <c r="G3" s="641">
        <f>F3*(1+G2)</f>
        <v/>
      </c>
      <c r="H3" s="641">
        <f>G3*(1+H2)</f>
        <v/>
      </c>
      <c r="I3" s="641">
        <f>H3*(1+I2)</f>
        <v/>
      </c>
      <c r="J3" s="641">
        <f>I3*(1+J2)</f>
        <v/>
      </c>
      <c r="K3" s="641">
        <f>J3*(1+K2)</f>
        <v/>
      </c>
      <c r="L3" s="641">
        <f>K3*(1+L2)</f>
        <v/>
      </c>
      <c r="M3" s="642">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40">
        <f>IF('Input sheet'!B17="Yes",IF('Input sheet'!B16="Yes",'Input sheet'!B12+'Operating lease converter'!F32+'R&amp; D converter'!D39,'Input sheet'!B12+'Operating lease converter'!F32),IF('Input sheet'!B16="Yes",'Input sheet'!B12+'R&amp; D converter'!D39,'Input sheet'!B12))</f>
        <v/>
      </c>
      <c r="C5" s="641">
        <f>C4*C3</f>
        <v/>
      </c>
      <c r="D5" s="641">
        <f>D4*D3</f>
        <v/>
      </c>
      <c r="E5" s="641">
        <f>E4*E3</f>
        <v/>
      </c>
      <c r="F5" s="641">
        <f>F4*F3</f>
        <v/>
      </c>
      <c r="G5" s="641">
        <f>G4*G3</f>
        <v/>
      </c>
      <c r="H5" s="641">
        <f>H4*H3</f>
        <v/>
      </c>
      <c r="I5" s="641">
        <f>I4*I3</f>
        <v/>
      </c>
      <c r="J5" s="641">
        <f>J4*J3</f>
        <v/>
      </c>
      <c r="K5" s="641">
        <f>K4*K3</f>
        <v/>
      </c>
      <c r="L5" s="641">
        <f>L4*L3</f>
        <v/>
      </c>
      <c r="M5" s="642">
        <f>M4*M3</f>
        <v/>
      </c>
      <c r="N5" s="643">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40">
        <f>IF(B5&gt;0,B5*(1-B6),B5)</f>
        <v/>
      </c>
      <c r="C7" s="641">
        <f>IF(C5&gt;0,IF(C5&lt;B10,C5,C5-(C5-B10)*C6),C5)</f>
        <v/>
      </c>
      <c r="D7" s="641">
        <f>IF(D5&gt;0,IF(D5&lt;C10,D5,D5-(D5-C10)*D6),D5)</f>
        <v/>
      </c>
      <c r="E7" s="641">
        <f>IF(E5&gt;0,IF(E5&lt;D10,E5,E5-(E5-D10)*E6),E5)</f>
        <v/>
      </c>
      <c r="F7" s="641">
        <f>IF(F5&gt;0,IF(F5&lt;E10,F5,F5-(F5-E10)*F6),F5)</f>
        <v/>
      </c>
      <c r="G7" s="641">
        <f>IF(G5&gt;0,IF(G5&lt;F10,G5,G5-(G5-F10)*G6),G5)</f>
        <v/>
      </c>
      <c r="H7" s="641">
        <f>IF(H5&gt;0,IF(H5&lt;G10,H5,H5-(H5-G10)*H6),H5)</f>
        <v/>
      </c>
      <c r="I7" s="641">
        <f>IF(I5&gt;0,IF(I5&lt;H10,I5,I5-(I5-H10)*I6),I5)</f>
        <v/>
      </c>
      <c r="J7" s="641">
        <f>IF(J5&gt;0,IF(J5&lt;I10,J5,J5-(J5-I10)*J6),J5)</f>
        <v/>
      </c>
      <c r="K7" s="641">
        <f>IF(K5&gt;0,IF(K5&lt;J10,K5,K5-(K5-J10)*K6),K5)</f>
        <v/>
      </c>
      <c r="L7" s="641">
        <f>IF(L5&gt;0,IF(L5&lt;K10,L5,L5-(L5-K10)*L6),L5)</f>
        <v/>
      </c>
      <c r="M7" s="641">
        <f>M5*(1-M6)</f>
        <v/>
      </c>
    </row>
    <row r="8" ht="15" customHeight="1">
      <c r="A8" s="31" t="inlineStr">
        <is>
          <t xml:space="preserve"> - Reinvestment</t>
        </is>
      </c>
      <c r="B8" s="640" t="n"/>
      <c r="C8" s="641">
        <f>IF('Input sheet'!$B$56="No",(D3-C3)/C38,IF('Input sheet'!$B$57=0,(C3-B3)/C38,IF('Input sheet'!$B$57=2,(E3-D3)/C38,IF('Input sheet'!$B$57=3,(F3-E3)/C38,(D3-C3)/C38))))</f>
        <v/>
      </c>
      <c r="D8" s="641">
        <f>IF('Input sheet'!$B$56="No",(E3-D3)/D38,IF('Input sheet'!$B$57=0,(D3-C3)/D38,IF('Input sheet'!$B$57=2,(F3-E3)/D38,IF('Input sheet'!$B$57=3,(G3-F3)/D38,(E3-D3)/D38))))</f>
        <v/>
      </c>
      <c r="E8" s="641">
        <f>IF('Input sheet'!$B$56="No",(F3-E3)/E38,IF('Input sheet'!$B$57=0,(E3-D3)/E38,IF('Input sheet'!$B$57=2,(G3-F3)/E38,IF('Input sheet'!$B$57=3,(H3-G3)/E38,(F3-E3)/E38))))</f>
        <v/>
      </c>
      <c r="F8" s="641">
        <f>IF('Input sheet'!$B$56="No",(G3-F3)/F38,IF('Input sheet'!$B$57=0,(F3-E3)/F38,IF('Input sheet'!$B$57=2,(H3-G3)/F38,IF('Input sheet'!$B$57=3,(I3-H3)/F38,(G3-F3)/F38))))</f>
        <v/>
      </c>
      <c r="G8" s="641">
        <f>IF('Input sheet'!$B$56="No",(H3-G3)/G38,IF('Input sheet'!$B$57=0,(G3-F3)/G38,IF('Input sheet'!$B$57=2,(I3-H3)/G38,IF('Input sheet'!$B$57=3,(J3-I3)/G38,(H3-G3)/G38))))</f>
        <v/>
      </c>
      <c r="H8" s="641">
        <f>IF('Input sheet'!$B$56="No",(I3-H3)/H38,IF('Input sheet'!$B$57=0,(H3-G3)/H38,IF('Input sheet'!$B$57=2,(J3-I3)/H38,IF('Input sheet'!$B$57=3,(K3-J3)/H38,(I3-H3)/H38))))</f>
        <v/>
      </c>
      <c r="I8" s="641">
        <f>IF('Input sheet'!$B$56="No",(J3-I3)/I38,IF('Input sheet'!$B$57=0,(I3-H3)/I38,IF('Input sheet'!$B$57=2,(K3-J3)/I38,IF('Input sheet'!$B$57=3,(L3-K3)/I38,(J3-I3)/I38))))</f>
        <v/>
      </c>
      <c r="J8" s="641">
        <f>IF('Input sheet'!$B$56="No",(K3-J3)/J38,IF('Input sheet'!$B$57=0,(J3-I3)/J38,IF('Input sheet'!$B$57=2,(L3-K3)/J38,IF('Input sheet'!$B$57=3,(M3-L3)/J38,(K3-J3)/J38))))</f>
        <v/>
      </c>
      <c r="K8" s="641">
        <f>IF('Input sheet'!$B$56="No",(L3-K3)/K38,IF('Input sheet'!$B$57=0,(K3-J3)/K38,IF('Input sheet'!$B$57=2,L3*L2/K38,IF('Input sheet'!$B$57=3,M3*M2/K38,(L3-K3)/K38))))</f>
        <v/>
      </c>
      <c r="L8" s="641">
        <f>IF('Input sheet'!$B$56="No",(M3-L3)/L38,IF('Input sheet'!$B$57=0,(L3-K3)/L38,IF('Input sheet'!$B$57=2,M3*M2/L38,IF('Input sheet'!$B$57=3,K8*(1+M2),(M3-L3)/L38))))</f>
        <v/>
      </c>
      <c r="M8" s="644">
        <f>IF(M2&gt;0,(M2/M40)*M7,0)</f>
        <v/>
      </c>
      <c r="N8" s="643">
        <f>SUM(C8:M8)</f>
        <v/>
      </c>
    </row>
    <row r="9" ht="15" customHeight="1">
      <c r="A9" s="31" t="inlineStr">
        <is>
          <t>FCFF</t>
        </is>
      </c>
      <c r="B9" s="640" t="n"/>
      <c r="C9" s="641">
        <f>C7-C8</f>
        <v/>
      </c>
      <c r="D9" s="641">
        <f>D7-D8</f>
        <v/>
      </c>
      <c r="E9" s="641">
        <f>E7-E8</f>
        <v/>
      </c>
      <c r="F9" s="641">
        <f>F7-F8</f>
        <v/>
      </c>
      <c r="G9" s="641">
        <f>G7-G8</f>
        <v/>
      </c>
      <c r="H9" s="641">
        <f>H7-H8</f>
        <v/>
      </c>
      <c r="I9" s="641">
        <f>I7-I8</f>
        <v/>
      </c>
      <c r="J9" s="641">
        <f>J7-J8</f>
        <v/>
      </c>
      <c r="K9" s="641">
        <f>K7-K8</f>
        <v/>
      </c>
      <c r="L9" s="641">
        <f>L7-L8</f>
        <v/>
      </c>
      <c r="M9" s="644">
        <f>M7-M8</f>
        <v/>
      </c>
    </row>
    <row r="10" ht="15" customHeight="1">
      <c r="A10" s="31" t="inlineStr">
        <is>
          <t>NOL</t>
        </is>
      </c>
      <c r="B10" s="640">
        <f>IF('Input sheet'!B61="Yes",'Input sheet'!B62,0)</f>
        <v/>
      </c>
      <c r="C10" s="641">
        <f>IF(C5&lt;0,B10-C5,IF(B10&gt;C5,B10-C5,0))</f>
        <v/>
      </c>
      <c r="D10" s="641">
        <f>IF(D5&lt;0,C10-D5,IF(C10&gt;D5,C10-D5,0))</f>
        <v/>
      </c>
      <c r="E10" s="641">
        <f>IF(E5&lt;0,D10-E5,IF(D10&gt;E5,D10-E5,0))</f>
        <v/>
      </c>
      <c r="F10" s="641">
        <f>IF(F5&lt;0,E10-F5,IF(E10&gt;F5,E10-F5,0))</f>
        <v/>
      </c>
      <c r="G10" s="641">
        <f>IF(G5&lt;0,F10-G5,IF(F10&gt;G5,F10-G5,0))</f>
        <v/>
      </c>
      <c r="H10" s="641">
        <f>IF(H5&lt;0,G10-H5,IF(G10&gt;H5,G10-H5,0))</f>
        <v/>
      </c>
      <c r="I10" s="641">
        <f>IF(I5&lt;0,H10-I5,IF(H10&gt;I5,H10-I5,0))</f>
        <v/>
      </c>
      <c r="J10" s="641">
        <f>IF(J5&lt;0,I10-J5,IF(I10&gt;J5,I10-J5,0))</f>
        <v/>
      </c>
      <c r="K10" s="641">
        <f>IF(K5&lt;0,J10-K5,IF(J10&gt;K5,J10-K5,0))</f>
        <v/>
      </c>
      <c r="L10" s="641">
        <f>IF(L5&lt;0,K10-L5,IF(K10&gt;L5,K10-L5,0))</f>
        <v/>
      </c>
      <c r="M10" s="641">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5">
        <f>1/(1+C12)</f>
        <v/>
      </c>
      <c r="D13" s="645">
        <f>C13*(1/(1+D12))</f>
        <v/>
      </c>
      <c r="E13" s="645">
        <f>D13*(1/(1+E12))</f>
        <v/>
      </c>
      <c r="F13" s="645">
        <f>E13*(1/(1+F12))</f>
        <v/>
      </c>
      <c r="G13" s="645">
        <f>F13*(1/(1+G12))</f>
        <v/>
      </c>
      <c r="H13" s="645">
        <f>G13*(1/(1+H12))</f>
        <v/>
      </c>
      <c r="I13" s="645">
        <f>H13*(1/(1+I12))</f>
        <v/>
      </c>
      <c r="J13" s="645">
        <f>I13*(1/(1+J12))</f>
        <v/>
      </c>
      <c r="K13" s="645">
        <f>J13*(1/(1+K12))</f>
        <v/>
      </c>
      <c r="L13" s="645">
        <f>K13*(1/(1+L12))</f>
        <v/>
      </c>
      <c r="M13" s="49" t="n"/>
    </row>
    <row r="14" ht="15" customHeight="1">
      <c r="A14" s="31" t="inlineStr">
        <is>
          <t>PV(FCFF)</t>
        </is>
      </c>
      <c r="B14" s="40" t="n"/>
      <c r="C14" s="641">
        <f>C9*C13</f>
        <v/>
      </c>
      <c r="D14" s="641">
        <f>D9*D13</f>
        <v/>
      </c>
      <c r="E14" s="641">
        <f>E9*E13</f>
        <v/>
      </c>
      <c r="F14" s="641">
        <f>F9*F13</f>
        <v/>
      </c>
      <c r="G14" s="641">
        <f>G9*G13</f>
        <v/>
      </c>
      <c r="H14" s="641">
        <f>H9*H13</f>
        <v/>
      </c>
      <c r="I14" s="641">
        <f>I9*I13</f>
        <v/>
      </c>
      <c r="J14" s="641">
        <f>J9*J13</f>
        <v/>
      </c>
      <c r="K14" s="641">
        <f>K9*K13</f>
        <v/>
      </c>
      <c r="L14" s="641">
        <f>L9*L13</f>
        <v/>
      </c>
      <c r="M14" s="49" t="n"/>
    </row>
    <row r="15" ht="15" customHeight="1"/>
    <row r="16" ht="15" customHeight="1">
      <c r="A16" s="30" t="inlineStr">
        <is>
          <t>Terminal cash flow</t>
        </is>
      </c>
      <c r="B16" s="640">
        <f>M9</f>
        <v/>
      </c>
    </row>
    <row r="17" ht="15" customHeight="1">
      <c r="A17" s="30" t="inlineStr">
        <is>
          <t>Terminal cost of capital</t>
        </is>
      </c>
      <c r="B17" s="45">
        <f>M12</f>
        <v/>
      </c>
      <c r="D17" s="646" t="n"/>
    </row>
    <row r="18">
      <c r="A18" s="30" t="inlineStr">
        <is>
          <t>Terminal value</t>
        </is>
      </c>
      <c r="B18" s="640">
        <f>B16/(B17-M2)</f>
        <v/>
      </c>
      <c r="D18" s="647" t="n"/>
      <c r="M18" s="646" t="n"/>
    </row>
    <row r="19">
      <c r="A19" s="30" t="inlineStr">
        <is>
          <t>PV(Terminal value)</t>
        </is>
      </c>
      <c r="B19" s="648">
        <f>B18*L13</f>
        <v/>
      </c>
      <c r="D19" s="646" t="n"/>
    </row>
    <row r="20">
      <c r="A20" s="30" t="inlineStr">
        <is>
          <t>PV (CF over next 10 years)</t>
        </is>
      </c>
      <c r="B20" s="648">
        <f>SUM(C14:L14)</f>
        <v/>
      </c>
    </row>
    <row r="21">
      <c r="A21" s="30" t="inlineStr">
        <is>
          <t>Sum of PV</t>
        </is>
      </c>
      <c r="B21" s="648">
        <f>B19+B20</f>
        <v/>
      </c>
    </row>
    <row r="22">
      <c r="A22" s="30" t="inlineStr">
        <is>
          <t>Probability of failure =</t>
        </is>
      </c>
      <c r="B22" s="51">
        <f>IF('Input sheet'!B51="Yes",'Input sheet'!B52,0)</f>
        <v/>
      </c>
      <c r="E22" s="646" t="n"/>
    </row>
    <row r="23">
      <c r="A23" s="30" t="inlineStr">
        <is>
          <t>Proceeds if firm fails =</t>
        </is>
      </c>
      <c r="B23" s="649">
        <f>IF('Input sheet'!B53="B",('Input sheet'!B14+'Input sheet'!B15)*'Input sheet'!B54,'Valuation output'!B21*'Input sheet'!B54)</f>
        <v/>
      </c>
    </row>
    <row r="24">
      <c r="A24" s="30" t="inlineStr">
        <is>
          <t>Value of operating assets =</t>
        </is>
      </c>
      <c r="B24" s="640">
        <f>B21*(1-B22)+B23*B22</f>
        <v/>
      </c>
    </row>
    <row r="25">
      <c r="A25" s="30" t="inlineStr">
        <is>
          <t xml:space="preserve"> - Debt</t>
        </is>
      </c>
      <c r="B25" s="640">
        <f>IF('Input sheet'!B17="Yes",'Input sheet'!B15+'Operating lease converter'!C28,'Input sheet'!B15)</f>
        <v/>
      </c>
    </row>
    <row r="26">
      <c r="A26" s="30" t="inlineStr">
        <is>
          <t xml:space="preserve"> - Minority interests</t>
        </is>
      </c>
      <c r="B26" s="640">
        <f>'Input sheet'!B20</f>
        <v/>
      </c>
    </row>
    <row r="27">
      <c r="A27" s="30" t="inlineStr">
        <is>
          <t xml:space="preserve"> +  Cash</t>
        </is>
      </c>
      <c r="B27" s="640">
        <f>IF('Input sheet'!B70="YES",'Input sheet'!B18-'Input sheet'!B71*('Input sheet'!B24-'Input sheet'!B72),'Input sheet'!B18)</f>
        <v/>
      </c>
    </row>
    <row r="28">
      <c r="A28" s="30" t="inlineStr">
        <is>
          <t xml:space="preserve"> + Non-operating assets</t>
        </is>
      </c>
      <c r="B28" s="640">
        <f>'Input sheet'!B19</f>
        <v/>
      </c>
    </row>
    <row r="29">
      <c r="A29" s="30" t="inlineStr">
        <is>
          <t>Value of equity</t>
        </is>
      </c>
      <c r="B29" s="648">
        <f>B24-B25-B26+B27+B28</f>
        <v/>
      </c>
    </row>
    <row r="30">
      <c r="A30" s="30" t="inlineStr">
        <is>
          <t xml:space="preserve"> - Value of options</t>
        </is>
      </c>
      <c r="B30" s="53">
        <f>IF('Input sheet'!B37="No",0,'Option value'!B29)</f>
        <v/>
      </c>
    </row>
    <row r="31">
      <c r="A31" s="30" t="inlineStr">
        <is>
          <t>Value of equity in common stock</t>
        </is>
      </c>
      <c r="B31" s="648">
        <f>B29-B30</f>
        <v/>
      </c>
    </row>
    <row r="32">
      <c r="A32" s="30" t="inlineStr">
        <is>
          <t>Number of shares</t>
        </is>
      </c>
      <c r="B32" s="650">
        <f>'Input sheet'!B21</f>
        <v/>
      </c>
    </row>
    <row r="33">
      <c r="A33" s="30" t="inlineStr">
        <is>
          <t>Estimated value /share</t>
        </is>
      </c>
      <c r="B33" s="651">
        <f>B31/B32</f>
        <v/>
      </c>
    </row>
    <row r="34">
      <c r="A34" s="30" t="inlineStr">
        <is>
          <t>Price</t>
        </is>
      </c>
      <c r="B34" s="640">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2">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3">
        <f>B39+C8</f>
        <v/>
      </c>
      <c r="D39" s="653">
        <f>C39+D8</f>
        <v/>
      </c>
      <c r="E39" s="653">
        <f>D39+E8</f>
        <v/>
      </c>
      <c r="F39" s="653">
        <f>E39+F8</f>
        <v/>
      </c>
      <c r="G39" s="653">
        <f>F39+G8</f>
        <v/>
      </c>
      <c r="H39" s="653">
        <f>G39+H8</f>
        <v/>
      </c>
      <c r="I39" s="653">
        <f>H39+I8</f>
        <v/>
      </c>
      <c r="J39" s="653">
        <f>I39+J8</f>
        <v/>
      </c>
      <c r="K39" s="653">
        <f>J39+K8</f>
        <v/>
      </c>
      <c r="L39" s="653">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4" sqref="G14"/>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4">
        <f>'Input sheet'!B4</f>
        <v/>
      </c>
      <c r="B1" s="626" t="n"/>
      <c r="C1" s="626" t="n"/>
      <c r="D1" s="626" t="n"/>
      <c r="E1" s="626" t="n"/>
      <c r="F1" s="627" t="n"/>
      <c r="G1" s="157">
        <f>'Input sheet'!B3</f>
        <v/>
      </c>
    </row>
    <row r="2">
      <c r="A2" s="508" t="inlineStr">
        <is>
          <t>Life beyond the Search Box</t>
        </is>
      </c>
      <c r="B2" s="626" t="n"/>
      <c r="C2" s="626" t="n"/>
      <c r="D2" s="626" t="n"/>
      <c r="E2" s="626" t="n"/>
      <c r="F2" s="626" t="n"/>
      <c r="G2" s="627" t="n"/>
    </row>
    <row r="3" ht="15.95" customHeight="1">
      <c r="A3" s="655" t="inlineStr">
        <is>
          <t>In spite of its well publicized forays into other businesses, Alphabet remains a company that gets much of its revenues from its search box. The growth in the near term will come from YouTube, with streeaming subscriptions picking up, and content building up. The other businesses will remain more options than businesses, with little potential of adding to revenues and profits in the near term.</t>
        </is>
      </c>
      <c r="B3" s="656" t="n"/>
      <c r="C3" s="656" t="n"/>
      <c r="D3" s="656" t="n"/>
      <c r="E3" s="656" t="n"/>
      <c r="F3" s="656" t="n"/>
      <c r="G3" s="657" t="n"/>
      <c r="H3" s="658" t="inlineStr">
        <is>
          <t>Tell your story about the company. Keep it focuses on the company's businesses and tie it into the three key levers of value: cash flows, growth and risk</t>
        </is>
      </c>
      <c r="I3" s="656" t="n"/>
      <c r="J3" s="656" t="n"/>
      <c r="K3" s="657" t="n"/>
    </row>
    <row r="4" ht="15.95" customHeight="1">
      <c r="A4" s="659" t="n"/>
      <c r="G4" s="660" t="n"/>
      <c r="H4" s="659" t="n"/>
      <c r="K4" s="660" t="n"/>
    </row>
    <row r="5" ht="12" customHeight="1">
      <c r="A5" s="659" t="n"/>
      <c r="G5" s="660" t="n"/>
      <c r="H5" s="659" t="n"/>
      <c r="K5" s="660" t="n"/>
    </row>
    <row r="6" ht="17.1" customHeight="1">
      <c r="A6" s="661" t="n"/>
      <c r="B6" s="662" t="n"/>
      <c r="C6" s="662" t="n"/>
      <c r="D6" s="662" t="n"/>
      <c r="E6" s="662" t="n"/>
      <c r="F6" s="662" t="n"/>
      <c r="G6" s="663" t="n"/>
      <c r="H6" s="661" t="n"/>
      <c r="I6" s="662" t="n"/>
      <c r="J6" s="662" t="n"/>
      <c r="K6" s="663" t="n"/>
    </row>
    <row r="7">
      <c r="A7" s="664" t="inlineStr">
        <is>
          <t>The Assumptions</t>
        </is>
      </c>
      <c r="B7" s="626" t="n"/>
      <c r="C7" s="626" t="n"/>
      <c r="D7" s="626" t="n"/>
      <c r="E7" s="626" t="n"/>
      <c r="F7" s="626" t="n"/>
      <c r="G7" s="627"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ht="33.95" customHeight="1">
      <c r="A9" s="118" t="inlineStr">
        <is>
          <t>Revenues (a)</t>
        </is>
      </c>
      <c r="B9" s="665">
        <f>'Valuation output'!B3</f>
        <v/>
      </c>
      <c r="C9" s="666">
        <f>'Input sheet'!B26</f>
        <v/>
      </c>
      <c r="D9" s="160">
        <f>'Input sheet'!B28</f>
        <v/>
      </c>
      <c r="E9" s="160" t="inlineStr">
        <is>
          <t>Changes to</t>
        </is>
      </c>
      <c r="F9" s="119">
        <f>'Valuation output'!M2</f>
        <v/>
      </c>
      <c r="G9" s="453" t="inlineStr">
        <is>
          <t>YouTube streaming subscription revenues start to build up.</t>
        </is>
      </c>
      <c r="H9" s="667" t="inlineStr">
        <is>
          <t>Tie each assumption to the part of your story that relates to it.</t>
        </is>
      </c>
      <c r="I9" s="656" t="n"/>
      <c r="J9" s="656" t="n"/>
      <c r="K9" s="657" t="n"/>
    </row>
    <row r="10" ht="51" customHeight="1">
      <c r="A10" s="118" t="inlineStr">
        <is>
          <t>Operating margin (b)</t>
        </is>
      </c>
      <c r="B10" s="119">
        <f>'Valuation output'!B4</f>
        <v/>
      </c>
      <c r="C10" s="666">
        <f>'Input sheet'!B27</f>
        <v/>
      </c>
      <c r="D10" s="161" t="inlineStr">
        <is>
          <t>Moves to</t>
        </is>
      </c>
      <c r="E10" s="162">
        <f>'Valuation output'!G4</f>
        <v/>
      </c>
      <c r="F10" s="119">
        <f>'Valuation output'!M4</f>
        <v/>
      </c>
      <c r="G10" s="259" t="inlineStr">
        <is>
          <t>Margins compress slightly, as ad business settles into low growth with Meta as the primary competitor.</t>
        </is>
      </c>
      <c r="H10" s="659" t="n"/>
      <c r="K10" s="660" t="n"/>
    </row>
    <row r="11">
      <c r="A11" s="118" t="inlineStr">
        <is>
          <t>Tax rate</t>
        </is>
      </c>
      <c r="B11" s="119">
        <f>'Valuation output'!B6</f>
        <v/>
      </c>
      <c r="C11" s="613" t="n"/>
      <c r="D11" s="160">
        <f>B11</f>
        <v/>
      </c>
      <c r="E11" s="160" t="inlineStr">
        <is>
          <t>Changes to</t>
        </is>
      </c>
      <c r="F11" s="119">
        <f>'Valuation output'!M6</f>
        <v/>
      </c>
      <c r="G11" s="260" t="inlineStr">
        <is>
          <t>Global/US marginal tax rate over time</t>
        </is>
      </c>
      <c r="H11" s="659" t="n"/>
      <c r="K11" s="660" t="n"/>
    </row>
    <row r="12" ht="51" customHeight="1">
      <c r="A12" s="118" t="inlineStr">
        <is>
          <t>Sales to Capital  (c )</t>
        </is>
      </c>
      <c r="B12" s="120" t="n"/>
      <c r="C12" s="614">
        <f>'Input sheet'!B31</f>
        <v/>
      </c>
      <c r="D12" s="159">
        <f>'Input sheet'!B31</f>
        <v/>
      </c>
      <c r="E12" s="158">
        <f>'Input sheet'!B32</f>
        <v/>
      </c>
      <c r="F12" s="121">
        <f>'Valuation output'!M2/'Valuation output'!M40</f>
        <v/>
      </c>
      <c r="G12" s="259" t="inlineStr">
        <is>
          <t>Capital investments are high in businesses that are not contributing to top or bottom line.</t>
        </is>
      </c>
      <c r="H12" s="659" t="n"/>
      <c r="K12" s="660" t="n"/>
    </row>
    <row r="13">
      <c r="A13" s="135" t="inlineStr">
        <is>
          <t>Return on capital</t>
        </is>
      </c>
      <c r="B13" s="137">
        <f>'Valuation output'!B40</f>
        <v/>
      </c>
      <c r="C13" s="119" t="inlineStr">
        <is>
          <t>Marginal ROIC =</t>
        </is>
      </c>
      <c r="D13" s="668">
        <f>Diagnostics!C27</f>
        <v/>
      </c>
      <c r="E13" s="627" t="n"/>
      <c r="F13" s="136">
        <f>'Valuation output'!M40</f>
        <v/>
      </c>
      <c r="G13" s="261" t="inlineStr">
        <is>
          <t>Strong competitive edges</t>
        </is>
      </c>
      <c r="H13" s="659" t="n"/>
      <c r="K13" s="660" t="n"/>
    </row>
    <row r="14" ht="17.1" customHeight="1" thickBot="1">
      <c r="A14" s="122" t="inlineStr">
        <is>
          <t>Cost of capital (d)</t>
        </is>
      </c>
      <c r="B14" s="138" t="n"/>
      <c r="C14" s="120" t="n"/>
      <c r="D14" s="161">
        <f>'Valuation output'!C12</f>
        <v/>
      </c>
      <c r="E14" s="162" t="n"/>
      <c r="F14" s="123">
        <f>'Valuation output'!M12</f>
        <v/>
      </c>
      <c r="G14" s="262" t="inlineStr">
        <is>
          <t>Cost of capital close to median company</t>
        </is>
      </c>
      <c r="H14" s="661" t="n"/>
      <c r="I14" s="662" t="n"/>
      <c r="J14" s="662" t="n"/>
      <c r="K14" s="663" t="n"/>
    </row>
    <row r="15" ht="17.1" customHeight="1" thickBot="1">
      <c r="A15" s="512" t="inlineStr">
        <is>
          <t>The Cash Flows</t>
        </is>
      </c>
      <c r="G15" s="660" t="n"/>
    </row>
    <row r="16">
      <c r="A16" s="113" t="n"/>
      <c r="B16" s="167" t="inlineStr">
        <is>
          <t>Revenues</t>
        </is>
      </c>
      <c r="C16" s="167" t="inlineStr">
        <is>
          <t>Operating Margin</t>
        </is>
      </c>
      <c r="D16" s="669" t="inlineStr">
        <is>
          <t>EBIT</t>
        </is>
      </c>
      <c r="E16" s="669" t="inlineStr">
        <is>
          <t>EBIT (1-t)</t>
        </is>
      </c>
      <c r="F16" s="669" t="inlineStr">
        <is>
          <t xml:space="preserve">Reinvestment </t>
        </is>
      </c>
      <c r="G16" s="670" t="inlineStr">
        <is>
          <t>FCFF</t>
        </is>
      </c>
      <c r="H16" s="671"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6" t="n"/>
      <c r="J16" s="656" t="n"/>
      <c r="K16" s="657" t="n"/>
    </row>
    <row r="17">
      <c r="A17" s="124" t="n">
        <v>1</v>
      </c>
      <c r="B17" s="665">
        <f>'Valuation output'!C3</f>
        <v/>
      </c>
      <c r="C17" s="125">
        <f>'Valuation output'!C4</f>
        <v/>
      </c>
      <c r="D17" s="665">
        <f>B17*C17</f>
        <v/>
      </c>
      <c r="E17" s="665">
        <f>'Valuation output'!C7</f>
        <v/>
      </c>
      <c r="F17" s="665">
        <f>'Valuation output'!C8</f>
        <v/>
      </c>
      <c r="G17" s="672">
        <f>E17-F17</f>
        <v/>
      </c>
      <c r="H17" s="659" t="n"/>
      <c r="K17" s="660" t="n"/>
    </row>
    <row r="18">
      <c r="A18" s="124" t="n">
        <v>2</v>
      </c>
      <c r="B18" s="665">
        <f>'Valuation output'!D3</f>
        <v/>
      </c>
      <c r="C18" s="125">
        <f>'Valuation output'!D4</f>
        <v/>
      </c>
      <c r="D18" s="665">
        <f>B18*C18</f>
        <v/>
      </c>
      <c r="E18" s="665">
        <f>'Valuation output'!D7</f>
        <v/>
      </c>
      <c r="F18" s="665">
        <f>'Valuation output'!D8</f>
        <v/>
      </c>
      <c r="G18" s="672">
        <f>E18-F18</f>
        <v/>
      </c>
      <c r="H18" s="659" t="n"/>
      <c r="K18" s="660" t="n"/>
    </row>
    <row r="19">
      <c r="A19" s="124" t="n">
        <v>3</v>
      </c>
      <c r="B19" s="665">
        <f>'Valuation output'!E3</f>
        <v/>
      </c>
      <c r="C19" s="125">
        <f>'Valuation output'!E4</f>
        <v/>
      </c>
      <c r="D19" s="665">
        <f>B19*C19</f>
        <v/>
      </c>
      <c r="E19" s="665">
        <f>'Valuation output'!E7</f>
        <v/>
      </c>
      <c r="F19" s="665">
        <f>'Valuation output'!E8</f>
        <v/>
      </c>
      <c r="G19" s="672">
        <f>E19-F19</f>
        <v/>
      </c>
      <c r="H19" s="659" t="n"/>
      <c r="K19" s="660" t="n"/>
    </row>
    <row r="20">
      <c r="A20" s="124" t="n">
        <v>4</v>
      </c>
      <c r="B20" s="665">
        <f>'Valuation output'!F3</f>
        <v/>
      </c>
      <c r="C20" s="125">
        <f>'Valuation output'!F4</f>
        <v/>
      </c>
      <c r="D20" s="665">
        <f>B20*C20</f>
        <v/>
      </c>
      <c r="E20" s="665">
        <f>'Valuation output'!F7</f>
        <v/>
      </c>
      <c r="F20" s="665">
        <f>'Valuation output'!F8</f>
        <v/>
      </c>
      <c r="G20" s="672">
        <f>E20-F20</f>
        <v/>
      </c>
      <c r="H20" s="659" t="n"/>
      <c r="K20" s="660" t="n"/>
    </row>
    <row r="21">
      <c r="A21" s="124" t="n">
        <v>5</v>
      </c>
      <c r="B21" s="665">
        <f>'Valuation output'!G3</f>
        <v/>
      </c>
      <c r="C21" s="125">
        <f>'Valuation output'!G4</f>
        <v/>
      </c>
      <c r="D21" s="665">
        <f>B21*C21</f>
        <v/>
      </c>
      <c r="E21" s="665">
        <f>'Valuation output'!G7</f>
        <v/>
      </c>
      <c r="F21" s="665">
        <f>'Valuation output'!G8</f>
        <v/>
      </c>
      <c r="G21" s="672">
        <f>E21-F21</f>
        <v/>
      </c>
      <c r="H21" s="659" t="n"/>
      <c r="K21" s="660" t="n"/>
    </row>
    <row r="22">
      <c r="A22" s="124" t="n">
        <v>6</v>
      </c>
      <c r="B22" s="665">
        <f>'Valuation output'!H3</f>
        <v/>
      </c>
      <c r="C22" s="125">
        <f>'Valuation output'!H4</f>
        <v/>
      </c>
      <c r="D22" s="665">
        <f>B22*C22</f>
        <v/>
      </c>
      <c r="E22" s="665">
        <f>'Valuation output'!H7</f>
        <v/>
      </c>
      <c r="F22" s="665">
        <f>'Valuation output'!H8</f>
        <v/>
      </c>
      <c r="G22" s="672">
        <f>E22-F22</f>
        <v/>
      </c>
      <c r="H22" s="659" t="n"/>
      <c r="K22" s="660" t="n"/>
    </row>
    <row r="23">
      <c r="A23" s="124" t="n">
        <v>7</v>
      </c>
      <c r="B23" s="665">
        <f>'Valuation output'!I3</f>
        <v/>
      </c>
      <c r="C23" s="125">
        <f>'Valuation output'!I4</f>
        <v/>
      </c>
      <c r="D23" s="665">
        <f>B23*C23</f>
        <v/>
      </c>
      <c r="E23" s="665">
        <f>'Valuation output'!I7</f>
        <v/>
      </c>
      <c r="F23" s="665">
        <f>'Valuation output'!I8</f>
        <v/>
      </c>
      <c r="G23" s="672">
        <f>E23-F23</f>
        <v/>
      </c>
      <c r="H23" s="659" t="n"/>
      <c r="K23" s="660" t="n"/>
    </row>
    <row r="24">
      <c r="A24" s="124" t="n">
        <v>8</v>
      </c>
      <c r="B24" s="665">
        <f>'Valuation output'!J3</f>
        <v/>
      </c>
      <c r="C24" s="125">
        <f>'Valuation output'!J4</f>
        <v/>
      </c>
      <c r="D24" s="665">
        <f>B24*C24</f>
        <v/>
      </c>
      <c r="E24" s="665">
        <f>'Valuation output'!J7</f>
        <v/>
      </c>
      <c r="F24" s="665">
        <f>'Valuation output'!J8</f>
        <v/>
      </c>
      <c r="G24" s="672">
        <f>E24-F24</f>
        <v/>
      </c>
      <c r="H24" s="659" t="n"/>
      <c r="K24" s="660" t="n"/>
    </row>
    <row r="25">
      <c r="A25" s="124" t="n">
        <v>9</v>
      </c>
      <c r="B25" s="665">
        <f>'Valuation output'!K3</f>
        <v/>
      </c>
      <c r="C25" s="125">
        <f>'Valuation output'!K4</f>
        <v/>
      </c>
      <c r="D25" s="665">
        <f>B25*C25</f>
        <v/>
      </c>
      <c r="E25" s="665">
        <f>'Valuation output'!K7</f>
        <v/>
      </c>
      <c r="F25" s="665">
        <f>'Valuation output'!K8</f>
        <v/>
      </c>
      <c r="G25" s="672">
        <f>E25-F25</f>
        <v/>
      </c>
      <c r="H25" s="659" t="n"/>
      <c r="K25" s="660" t="n"/>
    </row>
    <row r="26">
      <c r="A26" s="124" t="n">
        <v>10</v>
      </c>
      <c r="B26" s="665">
        <f>'Valuation output'!L3</f>
        <v/>
      </c>
      <c r="C26" s="125">
        <f>'Valuation output'!L4</f>
        <v/>
      </c>
      <c r="D26" s="665">
        <f>B26*C26</f>
        <v/>
      </c>
      <c r="E26" s="665">
        <f>'Valuation output'!L7</f>
        <v/>
      </c>
      <c r="F26" s="665">
        <f>'Valuation output'!L8</f>
        <v/>
      </c>
      <c r="G26" s="672">
        <f>E26-F26</f>
        <v/>
      </c>
      <c r="H26" s="659" t="n"/>
      <c r="K26" s="660" t="n"/>
    </row>
    <row r="27" ht="17.1" customHeight="1" thickBot="1">
      <c r="A27" s="126" t="inlineStr">
        <is>
          <t>Terminal year</t>
        </is>
      </c>
      <c r="B27" s="673">
        <f>'Valuation output'!M3</f>
        <v/>
      </c>
      <c r="C27" s="127">
        <f>'Valuation output'!M4</f>
        <v/>
      </c>
      <c r="D27" s="665">
        <f>B27*C27</f>
        <v/>
      </c>
      <c r="E27" s="673">
        <f>'Valuation output'!M7</f>
        <v/>
      </c>
      <c r="F27" s="673">
        <f>'Valuation output'!M8</f>
        <v/>
      </c>
      <c r="G27" s="672">
        <f>E27-F27</f>
        <v/>
      </c>
      <c r="H27" s="661" t="n"/>
      <c r="I27" s="662" t="n"/>
      <c r="J27" s="662" t="n"/>
      <c r="K27" s="663" t="n"/>
    </row>
    <row r="28" ht="17.1" customHeight="1" thickBot="1">
      <c r="A28" s="512" t="inlineStr">
        <is>
          <t>The Value</t>
        </is>
      </c>
      <c r="G28" s="660" t="n"/>
    </row>
    <row r="29">
      <c r="A29" s="674" t="inlineStr">
        <is>
          <t>Terminal value</t>
        </is>
      </c>
      <c r="B29" s="675" t="n"/>
      <c r="C29" s="676" t="n"/>
      <c r="D29" s="677">
        <f>'Valuation output'!B18</f>
        <v/>
      </c>
      <c r="E29" s="678" t="n"/>
      <c r="F29" s="129" t="n"/>
      <c r="G29" s="130" t="n"/>
      <c r="H29" s="503"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517" t="inlineStr">
        <is>
          <t>PV(Terminal value)</t>
        </is>
      </c>
      <c r="B30" s="626" t="n"/>
      <c r="C30" s="627" t="n"/>
      <c r="D30" s="679">
        <f>'Valuation output'!B19</f>
        <v/>
      </c>
      <c r="E30" s="680" t="n"/>
      <c r="F30" s="132" t="n"/>
      <c r="G30" s="133" t="n"/>
      <c r="H30" s="681" t="n"/>
    </row>
    <row r="31">
      <c r="A31" s="517" t="inlineStr">
        <is>
          <t>PV (CF over next 10 years)</t>
        </is>
      </c>
      <c r="B31" s="626" t="n"/>
      <c r="C31" s="627" t="n"/>
      <c r="D31" s="679">
        <f>'Valuation output'!B20</f>
        <v/>
      </c>
      <c r="E31" s="680" t="n"/>
      <c r="F31" s="132" t="n"/>
      <c r="G31" s="133" t="n"/>
      <c r="H31" s="681" t="n"/>
    </row>
    <row r="32">
      <c r="A32" s="517" t="inlineStr">
        <is>
          <t>Value of operating assets =</t>
        </is>
      </c>
      <c r="B32" s="626" t="n"/>
      <c r="C32" s="627" t="n"/>
      <c r="D32" s="679">
        <f>'Valuation output'!B21</f>
        <v/>
      </c>
      <c r="E32" s="680" t="n"/>
      <c r="F32" s="132" t="n"/>
      <c r="G32" s="133" t="n"/>
      <c r="H32" s="681" t="n"/>
    </row>
    <row r="33">
      <c r="A33" s="517" t="inlineStr">
        <is>
          <t>Adjustment for distress</t>
        </is>
      </c>
      <c r="B33" s="626" t="n"/>
      <c r="C33" s="627" t="n"/>
      <c r="D33" s="682">
        <f>D32-'Valuation output'!B24</f>
        <v/>
      </c>
      <c r="E33" s="683" t="inlineStr">
        <is>
          <t>Probability of failure =</t>
        </is>
      </c>
      <c r="F33" s="626" t="n"/>
      <c r="G33" s="443">
        <f>'Valuation output'!B22</f>
        <v/>
      </c>
      <c r="H33" s="681" t="n"/>
    </row>
    <row r="34">
      <c r="A34" s="517" t="inlineStr">
        <is>
          <t xml:space="preserve"> - Debt &amp; Minority Interests</t>
        </is>
      </c>
      <c r="B34" s="626" t="n"/>
      <c r="C34" s="627" t="n"/>
      <c r="D34" s="679">
        <f>'Valuation output'!B25+'Valuation output'!B26</f>
        <v/>
      </c>
      <c r="E34" s="680" t="n"/>
      <c r="F34" s="132" t="n"/>
      <c r="G34" s="133" t="n"/>
      <c r="H34" s="681" t="n"/>
    </row>
    <row r="35">
      <c r="A35" s="517" t="inlineStr">
        <is>
          <t xml:space="preserve"> + Cash &amp; Other Non-operating assets</t>
        </is>
      </c>
      <c r="B35" s="626" t="n"/>
      <c r="C35" s="627" t="n"/>
      <c r="D35" s="679">
        <f>'Valuation output'!B27+'Valuation output'!B28</f>
        <v/>
      </c>
      <c r="E35" s="680" t="n"/>
      <c r="F35" s="132" t="n"/>
      <c r="G35" s="133" t="n"/>
      <c r="H35" s="681" t="n"/>
    </row>
    <row r="36">
      <c r="A36" s="517" t="inlineStr">
        <is>
          <t>Value of equity</t>
        </is>
      </c>
      <c r="B36" s="626" t="n"/>
      <c r="C36" s="627" t="n"/>
      <c r="D36" s="679">
        <f>D32-D33-D34+D35</f>
        <v/>
      </c>
      <c r="E36" s="680" t="n"/>
      <c r="F36" s="132" t="n"/>
      <c r="G36" s="133" t="n"/>
      <c r="H36" s="681" t="n"/>
    </row>
    <row r="37">
      <c r="A37" s="517" t="inlineStr">
        <is>
          <t xml:space="preserve"> - Value of equity options</t>
        </is>
      </c>
      <c r="B37" s="626" t="n"/>
      <c r="C37" s="627" t="n"/>
      <c r="D37" s="679">
        <f>'Valuation output'!B30</f>
        <v/>
      </c>
      <c r="E37" s="680" t="n"/>
      <c r="F37" s="132" t="n"/>
      <c r="G37" s="133" t="n"/>
      <c r="H37" s="681" t="n"/>
    </row>
    <row r="38" ht="17.1" customHeight="1" thickBot="1">
      <c r="A38" s="517" t="inlineStr">
        <is>
          <t>Number of shares</t>
        </is>
      </c>
      <c r="B38" s="626" t="n"/>
      <c r="C38" s="627" t="n"/>
      <c r="D38" s="684">
        <f>'Valuation output'!B32</f>
        <v/>
      </c>
      <c r="G38" s="133" t="n"/>
      <c r="H38" s="681" t="n"/>
    </row>
    <row r="39" ht="17.1" customHeight="1" thickBot="1">
      <c r="A39" s="513" t="inlineStr">
        <is>
          <t>Value per share</t>
        </is>
      </c>
      <c r="B39" s="685" t="n"/>
      <c r="C39" s="686" t="n"/>
      <c r="D39" s="687">
        <f>(D36-D37)/D38</f>
        <v/>
      </c>
      <c r="E39" s="515" t="inlineStr">
        <is>
          <t>Stock was trading at =</t>
        </is>
      </c>
      <c r="F39" s="620" t="n"/>
      <c r="G39" s="688">
        <f>'Input sheet'!B22</f>
        <v/>
      </c>
      <c r="H39" s="681" t="n"/>
      <c r="M39" s="156" t="n"/>
    </row>
    <row r="40">
      <c r="M40" s="689" t="n"/>
    </row>
  </sheetData>
  <mergeCells count="24">
    <mergeCell ref="A33:C33"/>
    <mergeCell ref="A32:C32"/>
    <mergeCell ref="E39:F39"/>
    <mergeCell ref="A31:C31"/>
    <mergeCell ref="A34:C34"/>
    <mergeCell ref="A35:C35"/>
    <mergeCell ref="A38:C38"/>
    <mergeCell ref="A36:C36"/>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90">
        <f>'Input sheet'!B4</f>
        <v/>
      </c>
      <c r="B3" s="620" t="n"/>
      <c r="C3" s="620" t="n"/>
      <c r="D3" s="620" t="n"/>
      <c r="E3" s="620" t="n"/>
      <c r="F3" s="620" t="n"/>
      <c r="G3" s="620" t="n"/>
      <c r="H3" s="620" t="n"/>
      <c r="I3" s="620" t="n"/>
      <c r="J3" s="620" t="n"/>
      <c r="K3" s="620" t="n"/>
      <c r="L3" s="620" t="n"/>
      <c r="M3" s="620" t="n"/>
      <c r="N3" s="621" t="n"/>
      <c r="O3" s="691">
        <f>'Input sheet'!B3</f>
        <v/>
      </c>
      <c r="P3" s="621" t="n"/>
    </row>
    <row r="4" ht="15" customHeight="1" thickBot="1"/>
    <row r="5" ht="15" customHeight="1" thickBot="1">
      <c r="A5" s="535" t="inlineStr">
        <is>
          <t>Base Year and Comparison</t>
        </is>
      </c>
      <c r="B5" s="620" t="n"/>
      <c r="C5" s="692" t="n"/>
      <c r="E5" s="693" t="inlineStr">
        <is>
          <t>Growth Story</t>
        </is>
      </c>
      <c r="F5" s="631" t="n"/>
      <c r="H5" s="693" t="inlineStr">
        <is>
          <t>Profitability Story</t>
        </is>
      </c>
      <c r="I5" s="631" t="n"/>
      <c r="K5" s="693" t="inlineStr">
        <is>
          <t>Growth Efficiency Story</t>
        </is>
      </c>
      <c r="L5" s="631" t="n"/>
    </row>
    <row r="6" ht="14.1" customHeight="1">
      <c r="B6" s="420" t="inlineStr">
        <is>
          <t>Company</t>
        </is>
      </c>
      <c r="C6" s="420" t="inlineStr">
        <is>
          <t>Industry</t>
        </is>
      </c>
      <c r="E6" s="534">
        <f>'Stories to Numbers'!G9</f>
        <v/>
      </c>
      <c r="F6" s="657" t="n"/>
      <c r="H6" s="534">
        <f>'Stories to Numbers'!G10</f>
        <v/>
      </c>
      <c r="I6" s="657" t="n"/>
      <c r="K6" s="534">
        <f>'Stories to Numbers'!G12</f>
        <v/>
      </c>
      <c r="L6" s="657" t="n"/>
      <c r="O6" s="530" t="inlineStr">
        <is>
          <t>Terminal Value</t>
        </is>
      </c>
      <c r="P6" s="627" t="n"/>
    </row>
    <row r="7">
      <c r="A7" s="398" t="inlineStr">
        <is>
          <t>Revenue Growth</t>
        </is>
      </c>
      <c r="B7" s="400">
        <f>'Input sheet'!I25</f>
        <v/>
      </c>
      <c r="C7" s="400">
        <f>'Input sheet'!K25</f>
        <v/>
      </c>
      <c r="E7" s="659" t="n"/>
      <c r="F7" s="660" t="n"/>
      <c r="H7" s="659" t="n"/>
      <c r="I7" s="660" t="n"/>
      <c r="K7" s="659" t="n"/>
      <c r="L7" s="660" t="n"/>
      <c r="O7" s="398" t="inlineStr">
        <is>
          <t>Growth Rate</t>
        </is>
      </c>
      <c r="P7" s="400">
        <f>O16</f>
        <v/>
      </c>
    </row>
    <row r="8">
      <c r="A8" s="398" t="inlineStr">
        <is>
          <t>Revenue</t>
        </is>
      </c>
      <c r="B8" s="694">
        <f>'Valuation output'!B3</f>
        <v/>
      </c>
      <c r="E8" s="659" t="n"/>
      <c r="F8" s="660" t="n"/>
      <c r="H8" s="659" t="n"/>
      <c r="I8" s="660" t="n"/>
      <c r="K8" s="659" t="n"/>
      <c r="L8" s="660" t="n"/>
      <c r="O8" s="398" t="inlineStr">
        <is>
          <t>Cost of capital</t>
        </is>
      </c>
      <c r="P8" s="400">
        <f>'Valuation output'!M12</f>
        <v/>
      </c>
    </row>
    <row r="9">
      <c r="A9" s="398" t="inlineStr">
        <is>
          <t>Operating Margin</t>
        </is>
      </c>
      <c r="B9" s="400">
        <f>'Valuation output'!B4</f>
        <v/>
      </c>
      <c r="C9" s="400">
        <f>'Input sheet'!K26</f>
        <v/>
      </c>
      <c r="E9" s="659" t="n"/>
      <c r="F9" s="660" t="n"/>
      <c r="H9" s="659" t="n"/>
      <c r="I9" s="660" t="n"/>
      <c r="K9" s="659" t="n"/>
      <c r="L9" s="660" t="n"/>
      <c r="O9" s="398" t="inlineStr">
        <is>
          <t>Return on capital</t>
        </is>
      </c>
      <c r="P9" s="400">
        <f>'Valuation output'!M40</f>
        <v/>
      </c>
    </row>
    <row r="10">
      <c r="A10" s="398" t="inlineStr">
        <is>
          <t>Operating Income</t>
        </is>
      </c>
      <c r="B10" s="694">
        <f>'Valuation output'!B5</f>
        <v/>
      </c>
      <c r="E10" s="659" t="n"/>
      <c r="F10" s="660" t="n"/>
      <c r="H10" s="659" t="n"/>
      <c r="I10" s="660" t="n"/>
      <c r="K10" s="659" t="n"/>
      <c r="L10" s="660" t="n"/>
      <c r="O10" s="398" t="inlineStr">
        <is>
          <t>Reinvestment Rate</t>
        </is>
      </c>
      <c r="P10" s="400">
        <f>P7/P9</f>
        <v/>
      </c>
    </row>
    <row r="11">
      <c r="A11" s="398" t="inlineStr">
        <is>
          <t>EBIT (1-t)</t>
        </is>
      </c>
      <c r="B11" s="694">
        <f>'Valuation output'!B7</f>
        <v/>
      </c>
      <c r="E11" s="659" t="n"/>
      <c r="F11" s="660" t="n"/>
      <c r="H11" s="659" t="n"/>
      <c r="I11" s="660" t="n"/>
      <c r="K11" s="659" t="n"/>
      <c r="L11" s="660" t="n"/>
      <c r="P11" s="407" t="n"/>
    </row>
    <row r="12">
      <c r="E12" s="661" t="n"/>
      <c r="F12" s="663" t="n"/>
      <c r="H12" s="661" t="n"/>
      <c r="I12" s="663" t="n"/>
      <c r="K12" s="661" t="n"/>
      <c r="L12" s="663" t="n"/>
      <c r="P12" s="407" t="n"/>
    </row>
    <row r="13">
      <c r="P13" s="407" t="n"/>
    </row>
    <row r="14" ht="15" customHeight="1" thickBot="1"/>
    <row r="15">
      <c r="A15" s="695">
        <f>'Valuation output'!A19</f>
        <v/>
      </c>
      <c r="B15" s="696">
        <f>'Valuation output'!B19</f>
        <v/>
      </c>
      <c r="D15" s="398" t="n"/>
      <c r="E15" s="401">
        <f>'Valuation output'!C1</f>
        <v/>
      </c>
      <c r="F15" s="401">
        <f>'Valuation output'!D1</f>
        <v/>
      </c>
      <c r="G15" s="401">
        <f>'Valuation output'!E1</f>
        <v/>
      </c>
      <c r="H15" s="401">
        <f>'Valuation output'!F1</f>
        <v/>
      </c>
      <c r="I15" s="401">
        <f>'Valuation output'!G1</f>
        <v/>
      </c>
      <c r="J15" s="401">
        <f>'Valuation output'!H1</f>
        <v/>
      </c>
      <c r="K15" s="401">
        <f>'Valuation output'!I1</f>
        <v/>
      </c>
      <c r="L15" s="401">
        <f>'Valuation output'!J1</f>
        <v/>
      </c>
      <c r="M15" s="401">
        <f>'Valuation output'!K1</f>
        <v/>
      </c>
      <c r="N15" s="401">
        <f>'Valuation output'!L1</f>
        <v/>
      </c>
      <c r="O15" s="402">
        <f>'Valuation output'!M1</f>
        <v/>
      </c>
      <c r="P15" s="403" t="n"/>
    </row>
    <row r="16">
      <c r="A16" s="413">
        <f>'Valuation output'!A20</f>
        <v/>
      </c>
      <c r="B16" s="697">
        <f>'Valuation output'!B20</f>
        <v/>
      </c>
      <c r="D16" s="398" t="inlineStr">
        <is>
          <t>Revenue Growth</t>
        </is>
      </c>
      <c r="E16" s="400">
        <f>'Valuation output'!C2</f>
        <v/>
      </c>
      <c r="F16" s="400">
        <f>'Valuation output'!D2</f>
        <v/>
      </c>
      <c r="G16" s="400">
        <f>'Valuation output'!E2</f>
        <v/>
      </c>
      <c r="H16" s="400">
        <f>'Valuation output'!F2</f>
        <v/>
      </c>
      <c r="I16" s="400">
        <f>'Valuation output'!G2</f>
        <v/>
      </c>
      <c r="J16" s="400">
        <f>'Valuation output'!H2</f>
        <v/>
      </c>
      <c r="K16" s="400">
        <f>'Valuation output'!I2</f>
        <v/>
      </c>
      <c r="L16" s="400">
        <f>'Valuation output'!J2</f>
        <v/>
      </c>
      <c r="M16" s="400">
        <f>'Valuation output'!K2</f>
        <v/>
      </c>
      <c r="N16" s="400">
        <f>'Valuation output'!L2</f>
        <v/>
      </c>
      <c r="O16" s="404">
        <f>'Valuation output'!M2</f>
        <v/>
      </c>
    </row>
    <row r="17">
      <c r="A17" s="415">
        <f>'Valuation output'!A22</f>
        <v/>
      </c>
      <c r="B17" s="416">
        <f>'Valuation output'!B22</f>
        <v/>
      </c>
      <c r="D17" s="398" t="inlineStr">
        <is>
          <t>Revenue</t>
        </is>
      </c>
      <c r="E17" s="698">
        <f>'Valuation output'!C3</f>
        <v/>
      </c>
      <c r="F17" s="698">
        <f>'Valuation output'!D3</f>
        <v/>
      </c>
      <c r="G17" s="698">
        <f>'Valuation output'!E3</f>
        <v/>
      </c>
      <c r="H17" s="698">
        <f>'Valuation output'!F3</f>
        <v/>
      </c>
      <c r="I17" s="698">
        <f>'Valuation output'!G3</f>
        <v/>
      </c>
      <c r="J17" s="698">
        <f>'Valuation output'!H3</f>
        <v/>
      </c>
      <c r="K17" s="698">
        <f>'Valuation output'!I3</f>
        <v/>
      </c>
      <c r="L17" s="698">
        <f>'Valuation output'!J3</f>
        <v/>
      </c>
      <c r="M17" s="698">
        <f>'Valuation output'!K3</f>
        <v/>
      </c>
      <c r="N17" s="698">
        <f>'Valuation output'!L3</f>
        <v/>
      </c>
      <c r="O17" s="699">
        <f>'Valuation output'!M3</f>
        <v/>
      </c>
    </row>
    <row r="18">
      <c r="A18" s="413">
        <f>'Valuation output'!A24</f>
        <v/>
      </c>
      <c r="B18" s="700">
        <f>'Valuation output'!B24</f>
        <v/>
      </c>
      <c r="D18" s="398" t="inlineStr">
        <is>
          <t>Operating Margin</t>
        </is>
      </c>
      <c r="E18" s="400">
        <f>'Valuation output'!C4</f>
        <v/>
      </c>
      <c r="F18" s="400">
        <f>'Valuation output'!D4</f>
        <v/>
      </c>
      <c r="G18" s="400">
        <f>'Valuation output'!E4</f>
        <v/>
      </c>
      <c r="H18" s="400">
        <f>'Valuation output'!F4</f>
        <v/>
      </c>
      <c r="I18" s="400">
        <f>'Valuation output'!G4</f>
        <v/>
      </c>
      <c r="J18" s="400">
        <f>'Valuation output'!H4</f>
        <v/>
      </c>
      <c r="K18" s="400">
        <f>'Valuation output'!I4</f>
        <v/>
      </c>
      <c r="L18" s="400">
        <f>'Valuation output'!J4</f>
        <v/>
      </c>
      <c r="M18" s="400">
        <f>'Valuation output'!K4</f>
        <v/>
      </c>
      <c r="N18" s="400">
        <f>'Valuation output'!L4</f>
        <v/>
      </c>
      <c r="O18" s="404">
        <f>'Valuation output'!M4</f>
        <v/>
      </c>
    </row>
    <row r="19">
      <c r="A19" s="413">
        <f>'Valuation output'!A25</f>
        <v/>
      </c>
      <c r="B19" s="700">
        <f>'Valuation output'!B25</f>
        <v/>
      </c>
      <c r="D19" s="398" t="inlineStr">
        <is>
          <t>Operating Income</t>
        </is>
      </c>
      <c r="E19" s="698">
        <f>'Valuation output'!C5</f>
        <v/>
      </c>
      <c r="F19" s="698">
        <f>'Valuation output'!D5</f>
        <v/>
      </c>
      <c r="G19" s="698">
        <f>'Valuation output'!E5</f>
        <v/>
      </c>
      <c r="H19" s="698">
        <f>'Valuation output'!F5</f>
        <v/>
      </c>
      <c r="I19" s="698">
        <f>'Valuation output'!G5</f>
        <v/>
      </c>
      <c r="J19" s="698">
        <f>'Valuation output'!H5</f>
        <v/>
      </c>
      <c r="K19" s="698">
        <f>'Valuation output'!I5</f>
        <v/>
      </c>
      <c r="L19" s="698">
        <f>'Valuation output'!J5</f>
        <v/>
      </c>
      <c r="M19" s="698">
        <f>'Valuation output'!K5</f>
        <v/>
      </c>
      <c r="N19" s="698">
        <f>'Valuation output'!L5</f>
        <v/>
      </c>
      <c r="O19" s="699">
        <f>'Valuation output'!M5</f>
        <v/>
      </c>
    </row>
    <row r="20">
      <c r="A20" s="413">
        <f>'Valuation output'!A26</f>
        <v/>
      </c>
      <c r="B20" s="700">
        <f>'Valuation output'!B26</f>
        <v/>
      </c>
      <c r="D20" s="398" t="inlineStr">
        <is>
          <t>EBIT (1-t)</t>
        </is>
      </c>
      <c r="E20" s="698">
        <f>'Valuation output'!C7</f>
        <v/>
      </c>
      <c r="F20" s="698">
        <f>'Valuation output'!D7</f>
        <v/>
      </c>
      <c r="G20" s="698">
        <f>'Valuation output'!E7</f>
        <v/>
      </c>
      <c r="H20" s="698">
        <f>'Valuation output'!F7</f>
        <v/>
      </c>
      <c r="I20" s="698">
        <f>'Valuation output'!G7</f>
        <v/>
      </c>
      <c r="J20" s="698">
        <f>'Valuation output'!H7</f>
        <v/>
      </c>
      <c r="K20" s="698">
        <f>'Valuation output'!I7</f>
        <v/>
      </c>
      <c r="L20" s="698">
        <f>'Valuation output'!J7</f>
        <v/>
      </c>
      <c r="M20" s="698">
        <f>'Valuation output'!K7</f>
        <v/>
      </c>
      <c r="N20" s="698">
        <f>'Valuation output'!L7</f>
        <v/>
      </c>
      <c r="O20" s="699">
        <f>'Valuation output'!M7</f>
        <v/>
      </c>
    </row>
    <row r="21">
      <c r="A21" s="413">
        <f>'Valuation output'!A27</f>
        <v/>
      </c>
      <c r="B21" s="700">
        <f>'Valuation output'!B27</f>
        <v/>
      </c>
      <c r="D21" s="398" t="inlineStr">
        <is>
          <t>Reinvestment</t>
        </is>
      </c>
      <c r="E21" s="698">
        <f>'Valuation output'!C8</f>
        <v/>
      </c>
      <c r="F21" s="698">
        <f>'Valuation output'!D8</f>
        <v/>
      </c>
      <c r="G21" s="698">
        <f>'Valuation output'!E8</f>
        <v/>
      </c>
      <c r="H21" s="698">
        <f>'Valuation output'!F8</f>
        <v/>
      </c>
      <c r="I21" s="698">
        <f>'Valuation output'!G8</f>
        <v/>
      </c>
      <c r="J21" s="698">
        <f>'Valuation output'!H8</f>
        <v/>
      </c>
      <c r="K21" s="698">
        <f>'Valuation output'!I8</f>
        <v/>
      </c>
      <c r="L21" s="698">
        <f>'Valuation output'!J8</f>
        <v/>
      </c>
      <c r="M21" s="698">
        <f>'Valuation output'!K8</f>
        <v/>
      </c>
      <c r="N21" s="698">
        <f>'Valuation output'!L8</f>
        <v/>
      </c>
      <c r="O21" s="699">
        <f>'Valuation output'!M8</f>
        <v/>
      </c>
    </row>
    <row r="22">
      <c r="A22" s="413">
        <f>'Valuation output'!A28</f>
        <v/>
      </c>
      <c r="B22" s="700">
        <f>'Valuation output'!B28</f>
        <v/>
      </c>
      <c r="D22" s="399" t="inlineStr">
        <is>
          <t>FCFF</t>
        </is>
      </c>
      <c r="E22" s="699">
        <f>'Valuation output'!C9</f>
        <v/>
      </c>
      <c r="F22" s="699">
        <f>'Valuation output'!D9</f>
        <v/>
      </c>
      <c r="G22" s="699">
        <f>'Valuation output'!E9</f>
        <v/>
      </c>
      <c r="H22" s="699">
        <f>'Valuation output'!F9</f>
        <v/>
      </c>
      <c r="I22" s="699">
        <f>'Valuation output'!G9</f>
        <v/>
      </c>
      <c r="J22" s="699">
        <f>'Valuation output'!H9</f>
        <v/>
      </c>
      <c r="K22" s="699">
        <f>'Valuation output'!I9</f>
        <v/>
      </c>
      <c r="L22" s="699">
        <f>'Valuation output'!J9</f>
        <v/>
      </c>
      <c r="M22" s="699">
        <f>'Valuation output'!K9</f>
        <v/>
      </c>
      <c r="N22" s="699">
        <f>'Valuation output'!L9</f>
        <v/>
      </c>
      <c r="O22" s="699">
        <f>'Valuation output'!M9</f>
        <v/>
      </c>
    </row>
    <row r="23">
      <c r="A23" s="413">
        <f>'Valuation output'!A29</f>
        <v/>
      </c>
      <c r="B23" s="700">
        <f>'Valuation output'!B29</f>
        <v/>
      </c>
      <c r="N23" s="701">
        <f>'Valuation output'!B18</f>
        <v/>
      </c>
    </row>
    <row r="24">
      <c r="A24" s="413">
        <f>'Valuation output'!A30</f>
        <v/>
      </c>
      <c r="B24" s="700">
        <f>'Valuation output'!B30</f>
        <v/>
      </c>
    </row>
    <row r="25">
      <c r="A25" s="413">
        <f>'Valuation output'!A31</f>
        <v/>
      </c>
      <c r="B25" s="700">
        <f>'Valuation output'!B31</f>
        <v/>
      </c>
      <c r="D25" s="399" t="inlineStr">
        <is>
          <t>Cost of Capital</t>
        </is>
      </c>
      <c r="E25" s="404">
        <f>'Valuation output'!C12</f>
        <v/>
      </c>
      <c r="F25" s="404">
        <f>'Valuation output'!D12</f>
        <v/>
      </c>
      <c r="G25" s="404">
        <f>'Valuation output'!E12</f>
        <v/>
      </c>
      <c r="H25" s="404">
        <f>'Valuation output'!F12</f>
        <v/>
      </c>
      <c r="I25" s="404">
        <f>'Valuation output'!G12</f>
        <v/>
      </c>
      <c r="J25" s="404">
        <f>'Valuation output'!H12</f>
        <v/>
      </c>
      <c r="K25" s="404">
        <f>'Valuation output'!I12</f>
        <v/>
      </c>
      <c r="L25" s="404">
        <f>'Valuation output'!J12</f>
        <v/>
      </c>
      <c r="M25" s="404">
        <f>'Valuation output'!K12</f>
        <v/>
      </c>
      <c r="N25" s="404">
        <f>'Valuation output'!L12</f>
        <v/>
      </c>
      <c r="O25" s="407" t="n"/>
    </row>
    <row r="26">
      <c r="A26" s="702">
        <f>'Valuation output'!A32</f>
        <v/>
      </c>
      <c r="B26" s="703">
        <f>'Valuation output'!B32</f>
        <v/>
      </c>
      <c r="D26" s="398" t="inlineStr">
        <is>
          <t>Cumulated WACC</t>
        </is>
      </c>
      <c r="E26" s="704">
        <f>'Valuation output'!C13</f>
        <v/>
      </c>
      <c r="F26" s="704">
        <f>'Valuation output'!D13</f>
        <v/>
      </c>
      <c r="G26" s="704">
        <f>'Valuation output'!E13</f>
        <v/>
      </c>
      <c r="H26" s="704">
        <f>'Valuation output'!F13</f>
        <v/>
      </c>
      <c r="I26" s="704">
        <f>'Valuation output'!G13</f>
        <v/>
      </c>
      <c r="J26" s="704">
        <f>'Valuation output'!H13</f>
        <v/>
      </c>
      <c r="K26" s="704">
        <f>'Valuation output'!I13</f>
        <v/>
      </c>
      <c r="L26" s="704">
        <f>'Valuation output'!J13</f>
        <v/>
      </c>
      <c r="M26" s="704">
        <f>'Valuation output'!K13</f>
        <v/>
      </c>
      <c r="N26" s="704">
        <f>'Valuation output'!L13</f>
        <v/>
      </c>
    </row>
    <row r="27">
      <c r="A27" s="422">
        <f>'Valuation output'!A33</f>
        <v/>
      </c>
      <c r="B27" s="705">
        <f>'Valuation output'!B33</f>
        <v/>
      </c>
    </row>
    <row r="28">
      <c r="A28" s="426" t="n"/>
      <c r="B28" s="706" t="n"/>
      <c r="D28" s="399" t="inlineStr">
        <is>
          <t>Sales to Capital</t>
        </is>
      </c>
      <c r="E28" s="421">
        <f>'Valuation output'!C38</f>
        <v/>
      </c>
      <c r="F28" s="421">
        <f>'Valuation output'!D38</f>
        <v/>
      </c>
      <c r="G28" s="421">
        <f>'Valuation output'!E38</f>
        <v/>
      </c>
      <c r="H28" s="421">
        <f>'Valuation output'!F38</f>
        <v/>
      </c>
      <c r="I28" s="421">
        <f>'Valuation output'!G38</f>
        <v/>
      </c>
      <c r="J28" s="421">
        <f>'Valuation output'!H38</f>
        <v/>
      </c>
      <c r="K28" s="421">
        <f>'Valuation output'!I38</f>
        <v/>
      </c>
      <c r="L28" s="421">
        <f>'Valuation output'!J38</f>
        <v/>
      </c>
      <c r="M28" s="421">
        <f>'Valuation output'!K38</f>
        <v/>
      </c>
      <c r="N28" s="421">
        <f>'Valuation output'!L38</f>
        <v/>
      </c>
    </row>
    <row r="29">
      <c r="A29" s="399" t="inlineStr">
        <is>
          <t>Price per share</t>
        </is>
      </c>
      <c r="B29" s="707">
        <f>'Stories to Numbers'!G39</f>
        <v/>
      </c>
      <c r="D29" s="398" t="inlineStr">
        <is>
          <t>ROIC</t>
        </is>
      </c>
      <c r="E29" s="400">
        <f>'Valuation output'!C40</f>
        <v/>
      </c>
      <c r="F29" s="400">
        <f>'Valuation output'!D40</f>
        <v/>
      </c>
      <c r="G29" s="400">
        <f>'Valuation output'!E40</f>
        <v/>
      </c>
      <c r="H29" s="400">
        <f>'Valuation output'!F40</f>
        <v/>
      </c>
      <c r="I29" s="400">
        <f>'Valuation output'!G40</f>
        <v/>
      </c>
      <c r="J29" s="400">
        <f>'Valuation output'!H40</f>
        <v/>
      </c>
      <c r="K29" s="400">
        <f>'Valuation output'!I40</f>
        <v/>
      </c>
      <c r="L29" s="400">
        <f>'Valuation output'!J40</f>
        <v/>
      </c>
      <c r="M29" s="400">
        <f>'Valuation output'!K40</f>
        <v/>
      </c>
      <c r="N29" s="400">
        <f>'Valuation output'!L40</f>
        <v/>
      </c>
      <c r="O29" s="400">
        <f>'Valuation output'!M40</f>
        <v/>
      </c>
    </row>
    <row r="30">
      <c r="A30" s="399" t="inlineStr">
        <is>
          <t>% Under or Over Valued</t>
        </is>
      </c>
      <c r="B30" s="425">
        <f>B29/B27-1</f>
        <v/>
      </c>
    </row>
    <row r="31" ht="15" customHeight="1" thickBot="1"/>
    <row r="32">
      <c r="D32" s="693" t="inlineStr">
        <is>
          <t>Risk Story</t>
        </is>
      </c>
      <c r="E32" s="631" t="n"/>
      <c r="G32" s="693" t="inlineStr">
        <is>
          <t>Competitive Advantages</t>
        </is>
      </c>
      <c r="H32" s="630" t="n"/>
      <c r="I32" s="631" t="n"/>
    </row>
    <row r="33" ht="14.1" customHeight="1">
      <c r="D33" s="534">
        <f>'Stories to Numbers'!G14</f>
        <v/>
      </c>
      <c r="E33" s="657" t="n"/>
      <c r="G33" s="534">
        <f>'Stories to Numbers'!G13</f>
        <v/>
      </c>
      <c r="H33" s="656" t="n"/>
      <c r="I33" s="657" t="n"/>
    </row>
    <row r="34">
      <c r="D34" s="659" t="n"/>
      <c r="E34" s="660" t="n"/>
      <c r="G34" s="659" t="n"/>
      <c r="I34" s="660" t="n"/>
    </row>
    <row r="35">
      <c r="D35" s="659" t="n"/>
      <c r="E35" s="660" t="n"/>
      <c r="G35" s="659" t="n"/>
      <c r="I35" s="660" t="n"/>
    </row>
    <row r="36">
      <c r="D36" s="659" t="n"/>
      <c r="E36" s="660" t="n"/>
      <c r="G36" s="659" t="n"/>
      <c r="I36" s="660" t="n"/>
    </row>
    <row r="37">
      <c r="D37" s="659" t="n"/>
      <c r="E37" s="660" t="n"/>
      <c r="G37" s="659" t="n"/>
      <c r="I37" s="660" t="n"/>
    </row>
    <row r="38">
      <c r="D38" s="661" t="n"/>
      <c r="E38" s="663" t="n"/>
      <c r="G38" s="661" t="n"/>
      <c r="H38" s="662" t="n"/>
      <c r="I38" s="663" t="n"/>
    </row>
  </sheetData>
  <mergeCells count="14">
    <mergeCell ref="D32:E32"/>
    <mergeCell ref="G32:I32"/>
    <mergeCell ref="D33:E38"/>
    <mergeCell ref="G33:I38"/>
    <mergeCell ref="A5:C5"/>
    <mergeCell ref="O3:P3"/>
    <mergeCell ref="E6:F12"/>
    <mergeCell ref="H6:I12"/>
    <mergeCell ref="K6:L12"/>
    <mergeCell ref="A3:N3"/>
    <mergeCell ref="O6:P6"/>
    <mergeCell ref="E5:F5"/>
    <mergeCell ref="H5:I5"/>
    <mergeCell ref="K5:L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41" t="inlineStr">
        <is>
          <t>Your forecasts</t>
        </is>
      </c>
      <c r="E1" s="631"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f>'Input sheet'!J25</f>
        <v/>
      </c>
      <c r="C3" s="267">
        <f>'Input sheet'!I25</f>
        <v/>
      </c>
      <c r="D3" s="267">
        <f>'Valuation output'!C2</f>
        <v/>
      </c>
      <c r="E3" s="267">
        <f>'Valuation output'!D2</f>
        <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08">
        <f>'Valuation output'!B3</f>
        <v/>
      </c>
      <c r="C7" s="708">
        <f>'Valuation output'!C3</f>
        <v/>
      </c>
      <c r="D7" s="708">
        <f>'Valuation output'!G3</f>
        <v/>
      </c>
      <c r="E7" s="708">
        <f>'Valuation output'!L3</f>
        <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f>'Valuation output'!B4</f>
        <v/>
      </c>
      <c r="C12" s="291">
        <f>'Valuation output'!C4</f>
        <v/>
      </c>
      <c r="D12" s="291">
        <f>'Valuation output'!G4</f>
        <v/>
      </c>
      <c r="E12" s="291">
        <f>'Valuation output'!M4</f>
        <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f>'Input sheet'!I27</f>
        <v/>
      </c>
      <c r="C17" s="428">
        <f>'Valuation output'!C38</f>
        <v/>
      </c>
      <c r="D17" s="428">
        <f>'Valuation output'!G38</f>
        <v/>
      </c>
      <c r="E17" s="428">
        <f>'Valuation output'!L38</f>
        <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09">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66">
        <f>B21/B21</f>
        <v/>
      </c>
      <c r="E21" s="279" t="n"/>
      <c r="G21" s="270" t="inlineStr">
        <is>
          <t>1. Is your reinvestment consitent with your revenue growth forecast?</t>
        </is>
      </c>
    </row>
    <row r="22">
      <c r="A22" s="284" t="inlineStr">
        <is>
          <t>Value effect of reinvestment for next 10 years</t>
        </is>
      </c>
      <c r="B22" s="710">
        <f>B21-B23</f>
        <v/>
      </c>
      <c r="C22" s="269">
        <f>B22/B21</f>
        <v/>
      </c>
      <c r="E22" s="279" t="n"/>
      <c r="G22" s="270" t="inlineStr">
        <is>
          <t>2. Are you comfortable with your return on capital in year 10?</t>
        </is>
      </c>
    </row>
    <row r="23">
      <c r="A23" s="275" t="inlineStr">
        <is>
          <t>PV of FCFF for next ten years</t>
        </is>
      </c>
      <c r="B23" s="709">
        <f>'Valuation output'!B20</f>
        <v/>
      </c>
      <c r="C23" s="267">
        <f>C21-C22</f>
        <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f>'Valuation output'!B40</f>
        <v/>
      </c>
      <c r="C27" s="287">
        <f>('Valuation output'!L7-'Valuation output'!B7)/('Valuation output'!L39-'Valuation output'!B39)</f>
        <v/>
      </c>
      <c r="D27" s="286">
        <f>'Valuation output'!L40</f>
        <v/>
      </c>
      <c r="E27" s="288">
        <f>'Valuation output'!M40</f>
        <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f>'Input sheet'!J31</f>
        <v/>
      </c>
      <c r="C31" s="269">
        <f>(1/'Valuation output'!L13)^(1/10)-1</f>
        <v/>
      </c>
      <c r="D31" s="269">
        <f>'Valuation output'!C12</f>
        <v/>
      </c>
      <c r="E31" s="294">
        <f>'Valuation output'!M12</f>
        <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f>'Valuation output'!B22</f>
        <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f>'Valuation output'!B33/'Valuation output'!B34</f>
        <v/>
      </c>
      <c r="C36" s="308" t="n"/>
      <c r="D36" s="308" t="n"/>
      <c r="E36" s="309" t="n"/>
    </row>
    <row r="37" ht="17.1" customFormat="1" customHeight="1" s="76" thickBot="1">
      <c r="A37" s="78" t="n"/>
      <c r="B37" s="711">
        <f>IF(B36="NA","Value is negative. See below",IF(B36&gt;2,"Value seems high. See below",IF(B36&lt;0.5,"Value seems low. See below"," ")))</f>
        <v/>
      </c>
      <c r="C37" s="621"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34"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34"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9" min="1" max="1"/>
    <col width="28.140625" customWidth="1" style="199" min="2" max="2"/>
    <col width="30.7109375" customWidth="1" style="199" min="3" max="3"/>
    <col width="24.85546875" customWidth="1" style="199" min="4" max="4"/>
    <col width="44.28515625" customWidth="1" style="132" min="5" max="7"/>
  </cols>
  <sheetData>
    <row r="1" ht="18.95" customHeight="1">
      <c r="A1" s="542"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1" t="n"/>
    </row>
    <row r="3" ht="18" customFormat="1" customHeight="1" s="334">
      <c r="A3" s="256" t="inlineStr">
        <is>
          <t>Valuing Options or Warrants</t>
        </is>
      </c>
      <c r="B3" s="256" t="n"/>
      <c r="C3" s="256" t="n"/>
      <c r="D3" s="256" t="n"/>
      <c r="E3" s="256" t="n"/>
      <c r="F3" s="256" t="n"/>
      <c r="G3" s="256" t="n"/>
    </row>
    <row r="4" customFormat="1" s="335">
      <c r="A4" s="199" t="inlineStr">
        <is>
          <t>Enter the current stock price =</t>
        </is>
      </c>
      <c r="B4" s="712">
        <f>'Input sheet'!B22</f>
        <v/>
      </c>
      <c r="C4" s="199" t="n"/>
      <c r="D4" s="199" t="n"/>
      <c r="E4" s="199" t="n"/>
    </row>
    <row r="5" customFormat="1" s="335">
      <c r="A5" s="199" t="inlineStr">
        <is>
          <t>Enter the strike price on the option =</t>
        </is>
      </c>
      <c r="B5" s="713">
        <f>'Input sheet'!B39</f>
        <v/>
      </c>
      <c r="C5" s="199" t="n"/>
      <c r="D5" s="199" t="n"/>
      <c r="E5" s="199" t="n"/>
    </row>
    <row r="6" customFormat="1" s="335">
      <c r="A6" s="199" t="inlineStr">
        <is>
          <t>Enter the expiration of the option =</t>
        </is>
      </c>
      <c r="B6" s="317">
        <f>'Input sheet'!B40</f>
        <v/>
      </c>
      <c r="C6" s="199" t="n"/>
      <c r="D6" s="199" t="n"/>
      <c r="E6" s="199" t="n"/>
    </row>
    <row r="7" customFormat="1" s="335">
      <c r="A7" s="199" t="inlineStr">
        <is>
          <t>Enter the standard deviation in stock prices =</t>
        </is>
      </c>
      <c r="B7" s="318">
        <f>'Input sheet'!B41</f>
        <v/>
      </c>
      <c r="C7" s="199" t="inlineStr">
        <is>
          <t>(volatility)</t>
        </is>
      </c>
      <c r="D7" s="199" t="n"/>
      <c r="E7" s="199" t="n"/>
    </row>
    <row r="8" customFormat="1" s="335">
      <c r="A8" s="199" t="inlineStr">
        <is>
          <t>Enter the annualized dividend yield on stock =</t>
        </is>
      </c>
      <c r="B8" s="319" t="n">
        <v>0</v>
      </c>
      <c r="C8" s="199" t="n"/>
      <c r="D8" s="199" t="n"/>
      <c r="E8" s="199" t="n"/>
    </row>
    <row r="9" customFormat="1" s="335">
      <c r="A9" s="199" t="inlineStr">
        <is>
          <t>Enter the treasury bond rate =</t>
        </is>
      </c>
      <c r="B9" s="319">
        <f>'Input sheet'!B34</f>
        <v/>
      </c>
      <c r="C9" s="199" t="n"/>
      <c r="D9" s="199" t="n"/>
      <c r="E9" s="199" t="n"/>
    </row>
    <row r="10" customFormat="1" s="335">
      <c r="A10" s="199" t="inlineStr">
        <is>
          <t>Enter the number of warrants (options) outstanding =</t>
        </is>
      </c>
      <c r="B10" s="317">
        <f>'Input sheet'!B38</f>
        <v/>
      </c>
      <c r="C10" s="199" t="n"/>
      <c r="D10" s="199" t="n"/>
      <c r="E10" s="199" t="n"/>
    </row>
    <row r="11" customFormat="1" s="335">
      <c r="A11" s="199" t="inlineStr">
        <is>
          <t>Enter the number of shares outstanding =</t>
        </is>
      </c>
      <c r="B11" s="320">
        <f>'Input sheet'!B21</f>
        <v/>
      </c>
      <c r="C11" s="199" t="n"/>
      <c r="D11" s="199" t="n"/>
      <c r="E11" s="199" t="n"/>
    </row>
    <row r="12" customFormat="1" s="335">
      <c r="A12" s="199" t="n"/>
      <c r="B12" s="199" t="n"/>
      <c r="C12" s="199" t="n"/>
      <c r="D12" s="199" t="n"/>
      <c r="E12" s="199" t="n"/>
      <c r="F12" s="199" t="n"/>
      <c r="G12" s="199" t="n"/>
    </row>
    <row r="13" customFormat="1" s="336">
      <c r="A13" s="321" t="inlineStr">
        <is>
          <t>Do not input any numbers below this line</t>
        </is>
      </c>
      <c r="B13" s="322" t="n"/>
      <c r="C13" s="322" t="n"/>
      <c r="D13" s="322" t="n"/>
      <c r="E13" s="322" t="n"/>
      <c r="F13" s="322" t="n"/>
      <c r="G13" s="322" t="n"/>
    </row>
    <row r="14" customFormat="1" s="337">
      <c r="A14" s="256" t="inlineStr">
        <is>
          <t>Dilution-adjusted Black-Scholes</t>
        </is>
      </c>
      <c r="B14" s="199" t="n"/>
      <c r="C14" s="199" t="n"/>
      <c r="D14" s="199" t="n"/>
      <c r="E14" s="199" t="n"/>
      <c r="F14" s="199" t="n"/>
      <c r="G14" s="199" t="n"/>
    </row>
    <row r="15" customFormat="1" s="337">
      <c r="A15" s="323" t="inlineStr">
        <is>
          <t>Stock Price=</t>
        </is>
      </c>
      <c r="B15" s="714">
        <f>B4</f>
        <v/>
      </c>
      <c r="C15" s="323" t="inlineStr">
        <is>
          <t># Warrants issued=</t>
        </is>
      </c>
      <c r="D15" s="326">
        <f>B10</f>
        <v/>
      </c>
      <c r="E15" s="338" t="n"/>
    </row>
    <row r="16" customFormat="1" s="337">
      <c r="A16" s="323" t="inlineStr">
        <is>
          <t>Strike Price=</t>
        </is>
      </c>
      <c r="B16" s="333">
        <f>B5</f>
        <v/>
      </c>
      <c r="C16" s="323" t="inlineStr">
        <is>
          <t># Shares outstanding=</t>
        </is>
      </c>
      <c r="D16" s="327">
        <f>B11</f>
        <v/>
      </c>
      <c r="E16" s="338" t="n"/>
    </row>
    <row r="17" customFormat="1" s="337">
      <c r="A17" s="323" t="inlineStr">
        <is>
          <t>Adjusted S =</t>
        </is>
      </c>
      <c r="B17" s="714">
        <f>(B15*D16+B28*D15)/(D16+D15)</f>
        <v/>
      </c>
      <c r="C17" s="323" t="inlineStr">
        <is>
          <t>T.Bond rate=</t>
        </is>
      </c>
      <c r="D17" s="328">
        <f>B9</f>
        <v/>
      </c>
      <c r="E17" s="199" t="n"/>
    </row>
    <row r="18" customFormat="1" s="337">
      <c r="A18" s="323" t="inlineStr">
        <is>
          <t>Adjusted K =</t>
        </is>
      </c>
      <c r="B18" s="333">
        <f>B16</f>
        <v/>
      </c>
      <c r="C18" s="323" t="inlineStr">
        <is>
          <t>Variance=</t>
        </is>
      </c>
      <c r="D18" s="715">
        <f>B7^2</f>
        <v/>
      </c>
      <c r="E18" s="199" t="n"/>
    </row>
    <row r="19" customFormat="1" s="337">
      <c r="A19" s="323" t="inlineStr">
        <is>
          <t>Expiration (in years) =</t>
        </is>
      </c>
      <c r="B19" s="333">
        <f>B6</f>
        <v/>
      </c>
      <c r="C19" s="323" t="inlineStr">
        <is>
          <t>Annualized dividend yield=</t>
        </is>
      </c>
      <c r="D19" s="328">
        <f>B8</f>
        <v/>
      </c>
      <c r="E19" s="199" t="n"/>
    </row>
    <row r="20" customFormat="1" s="337">
      <c r="A20" s="199" t="n"/>
      <c r="B20" s="199" t="n"/>
      <c r="C20" s="323" t="inlineStr">
        <is>
          <t>Div. Adj. interest rate=</t>
        </is>
      </c>
      <c r="D20" s="330">
        <f>D17-D19</f>
        <v/>
      </c>
      <c r="E20" s="199" t="n"/>
    </row>
    <row r="21" customFormat="1" s="337">
      <c r="A21" s="199" t="n"/>
      <c r="B21" s="199" t="n"/>
      <c r="C21" s="199" t="n"/>
      <c r="D21" s="199" t="n"/>
      <c r="E21" s="199" t="n"/>
      <c r="F21" s="199" t="n"/>
      <c r="G21" s="199" t="n"/>
    </row>
    <row r="22" customFormat="1" s="337">
      <c r="A22" s="199" t="inlineStr">
        <is>
          <t xml:space="preserve">d1 = </t>
        </is>
      </c>
      <c r="B22" s="716">
        <f>(LN(B17/B18)+(D20+(D18/2))*B19)/(((D18)^(0.5))*(B19^0.5))</f>
        <v/>
      </c>
      <c r="C22" s="199" t="n"/>
      <c r="D22" s="199" t="n"/>
      <c r="E22" s="199" t="n"/>
      <c r="F22" s="199" t="n"/>
      <c r="G22" s="199" t="n"/>
    </row>
    <row r="23" customFormat="1" s="337">
      <c r="A23" s="199" t="inlineStr">
        <is>
          <t>N (d1) =</t>
        </is>
      </c>
      <c r="B23" s="716">
        <f>NORMSDIST(B22)</f>
        <v/>
      </c>
      <c r="C23" s="199" t="n"/>
      <c r="D23" s="199" t="n"/>
      <c r="E23" s="199" t="n"/>
      <c r="F23" s="199" t="n"/>
      <c r="G23" s="199" t="n"/>
    </row>
    <row r="24" customFormat="1" s="337">
      <c r="A24" s="199" t="n"/>
      <c r="B24" s="331" t="n"/>
      <c r="C24" s="199" t="n"/>
      <c r="D24" s="199" t="n"/>
      <c r="E24" s="199" t="n"/>
      <c r="F24" s="199" t="n"/>
      <c r="G24" s="199" t="n"/>
    </row>
    <row r="25" ht="15.75" customFormat="1" customHeight="1" s="337">
      <c r="A25" s="199" t="inlineStr">
        <is>
          <t xml:space="preserve">d2 = </t>
        </is>
      </c>
      <c r="B25" s="716">
        <f>B22-((D18^0.5)*(B19^(0.5)))</f>
        <v/>
      </c>
      <c r="C25" s="199" t="n"/>
      <c r="D25" s="199" t="n"/>
      <c r="E25" s="199" t="n"/>
      <c r="F25" s="199" t="n"/>
      <c r="G25" s="199" t="n"/>
    </row>
    <row r="26" customFormat="1" s="337">
      <c r="A26" s="199" t="inlineStr">
        <is>
          <t>N (d2) =</t>
        </is>
      </c>
      <c r="B26" s="716">
        <f>NORMSDIST(B25)</f>
        <v/>
      </c>
      <c r="C26" s="199" t="n"/>
      <c r="D26" s="199" t="n"/>
      <c r="E26" s="199" t="n"/>
      <c r="F26" s="199" t="n"/>
      <c r="G26" s="199" t="n"/>
    </row>
    <row r="27" ht="17.1" customFormat="1" customHeight="1" s="335" thickBot="1">
      <c r="A27" s="199" t="n"/>
      <c r="B27" s="199" t="n"/>
      <c r="C27" s="199" t="n"/>
      <c r="D27" s="199" t="n"/>
      <c r="E27" s="199" t="n"/>
      <c r="F27" s="199" t="n"/>
      <c r="G27" s="199" t="n"/>
    </row>
    <row r="28" ht="17.1" customFormat="1" customHeight="1" s="337" thickBot="1">
      <c r="A28" s="199" t="inlineStr">
        <is>
          <t xml:space="preserve">Value per option = </t>
        </is>
      </c>
      <c r="B28" s="717">
        <f>((EXP((0-D19)*B19))*B17*B23-B18*(EXP((0-D17)*B19))*B26)</f>
        <v/>
      </c>
      <c r="C28" s="199" t="n"/>
      <c r="D28" s="199" t="n"/>
      <c r="E28" s="199" t="n"/>
      <c r="F28" s="718" t="n"/>
    </row>
    <row r="29" ht="17.1" customFormat="1" customHeight="1" s="337" thickBot="1">
      <c r="A29" s="199" t="inlineStr">
        <is>
          <t>Value of all options outstanding =</t>
        </is>
      </c>
      <c r="B29" s="325">
        <f>B28*B10</f>
        <v/>
      </c>
      <c r="C29" s="199" t="n"/>
      <c r="D29" s="199" t="n"/>
      <c r="E29" s="199"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9" min="1" max="4"/>
    <col width="10.85546875" customWidth="1" style="199" min="5" max="5"/>
    <col width="12.85546875" bestFit="1" customWidth="1" style="199" min="6" max="6"/>
    <col width="10.85546875" customWidth="1" style="199" min="7" max="7"/>
    <col width="11.140625" bestFit="1" customWidth="1" style="199" min="8" max="8"/>
    <col width="10.85546875" customWidth="1" style="199" min="9" max="10"/>
    <col width="11.140625" bestFit="1" customWidth="1" style="199" min="11" max="20"/>
  </cols>
  <sheetData>
    <row r="1">
      <c r="A1" s="719" t="inlineStr">
        <is>
          <t>If you have negative operating income, this spreadsheet will offer you a D rating. Do not use that rating as your cost of debt for a going concern. Insread give your company a low, but going concern rating like BB and use that cost of debt.</t>
        </is>
      </c>
      <c r="B1" s="630" t="n"/>
      <c r="C1" s="630" t="n"/>
      <c r="D1" s="630" t="n"/>
      <c r="E1" s="630" t="n"/>
      <c r="F1" s="630" t="n"/>
      <c r="G1" s="630" t="n"/>
      <c r="H1" s="630" t="n"/>
      <c r="I1" s="630" t="n"/>
      <c r="J1" s="630" t="n"/>
      <c r="K1" s="630" t="n"/>
      <c r="L1" s="631" t="n"/>
    </row>
    <row r="2" ht="21" customHeight="1" thickBot="1">
      <c r="A2" s="720" t="n"/>
      <c r="B2" s="721" t="n"/>
      <c r="C2" s="721" t="n"/>
      <c r="D2" s="721" t="n"/>
      <c r="E2" s="721" t="n"/>
      <c r="F2" s="721" t="n"/>
      <c r="G2" s="721" t="n"/>
      <c r="H2" s="721" t="n"/>
      <c r="I2" s="721" t="n"/>
      <c r="J2" s="721" t="n"/>
      <c r="K2" s="721" t="n"/>
      <c r="L2" s="722" t="n"/>
    </row>
    <row r="4">
      <c r="A4" s="256" t="inlineStr">
        <is>
          <t>Inputs for synthetic rating estimation</t>
        </is>
      </c>
    </row>
    <row r="5">
      <c r="A5" s="256"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9" t="inlineStr">
        <is>
          <t>Enter the type of firm =</t>
        </is>
      </c>
      <c r="B7" s="199" t="n"/>
      <c r="C7" s="446">
        <f>'Cost of capital worksheet'!B36</f>
        <v/>
      </c>
      <c r="D7" s="199" t="n"/>
      <c r="E7" s="199" t="n"/>
      <c r="F7" s="199" t="n"/>
      <c r="G7" s="199" t="n"/>
      <c r="H7" s="199" t="n"/>
      <c r="I7" s="199" t="n"/>
      <c r="J7" s="199" t="n"/>
      <c r="K7" s="199" t="n"/>
      <c r="L7" s="199" t="n"/>
      <c r="M7" s="199" t="n"/>
      <c r="N7" s="199" t="n"/>
      <c r="O7" s="199" t="n"/>
      <c r="P7" s="199" t="n"/>
      <c r="Q7" s="199" t="n"/>
      <c r="R7" s="199" t="n"/>
      <c r="S7" s="199" t="n"/>
      <c r="T7" s="199" t="n"/>
    </row>
    <row r="8" ht="17.1" customFormat="1" customHeight="1" s="74" thickBot="1">
      <c r="A8" s="199" t="inlineStr">
        <is>
          <t>Enter current Earnings before interest and taxes (EBIT) =</t>
        </is>
      </c>
      <c r="B8" s="199" t="n"/>
      <c r="C8" s="199" t="n"/>
      <c r="D8" s="199" t="n"/>
      <c r="E8" s="199" t="n"/>
      <c r="F8" s="723">
        <f>IF('Input sheet'!B17="Yes",'Input sheet'!B12+'Operating lease converter'!F32,'Input sheet'!B12)</f>
        <v/>
      </c>
      <c r="G8" s="199" t="inlineStr">
        <is>
          <t>(Add back only long term interest expense for financial firms)</t>
        </is>
      </c>
      <c r="H8" s="199" t="n"/>
      <c r="I8" s="199" t="n"/>
      <c r="J8" s="199" t="n"/>
      <c r="K8" s="199" t="n"/>
      <c r="L8" s="199" t="n"/>
      <c r="M8" s="199" t="n"/>
      <c r="N8" s="199" t="n"/>
      <c r="O8" s="199" t="n"/>
      <c r="P8" s="199" t="n"/>
      <c r="Q8" s="199" t="n"/>
      <c r="R8" s="199" t="n"/>
      <c r="S8" s="199" t="n"/>
      <c r="T8" s="199" t="n"/>
    </row>
    <row r="9" ht="17.1" customFormat="1" customHeight="1" s="74" thickBot="1">
      <c r="A9" s="199" t="inlineStr">
        <is>
          <t>Enter current interest expenses =</t>
        </is>
      </c>
      <c r="B9" s="199" t="n"/>
      <c r="C9" s="199" t="n"/>
      <c r="D9" s="199" t="n"/>
      <c r="E9" s="199" t="n"/>
      <c r="F9" s="724">
        <f>IF('Input sheet'!B17="Yes",'Cost of capital worksheet'!B31+'Operating lease converter'!C28*'Operating lease converter'!C15,'Cost of capital worksheet'!B31)</f>
        <v/>
      </c>
      <c r="G9" s="199" t="inlineStr">
        <is>
          <t>(Use only long term interest expense for financial firms)</t>
        </is>
      </c>
      <c r="H9" s="199" t="n"/>
      <c r="I9" s="199" t="n"/>
      <c r="J9" s="199" t="n"/>
      <c r="K9" s="199" t="n"/>
      <c r="L9" s="199" t="n"/>
      <c r="M9" s="199" t="n"/>
      <c r="N9" s="199" t="n"/>
      <c r="O9" s="199" t="n"/>
      <c r="P9" s="199" t="n"/>
      <c r="Q9" s="199" t="n"/>
      <c r="R9" s="199" t="n"/>
      <c r="S9" s="199" t="n"/>
      <c r="T9" s="199" t="n"/>
    </row>
    <row r="10" ht="17.1" customFormat="1" customHeight="1" s="74" thickBot="1">
      <c r="A10" s="199" t="inlineStr">
        <is>
          <t>Enter long term risk free rate  =</t>
        </is>
      </c>
      <c r="B10" s="199" t="n"/>
      <c r="C10" s="199" t="n"/>
      <c r="D10" s="199" t="n"/>
      <c r="E10" s="199" t="n"/>
      <c r="F10" s="348">
        <f>'Input sheet'!B34</f>
        <v/>
      </c>
      <c r="G10" s="199" t="n"/>
      <c r="H10" s="199" t="n"/>
      <c r="I10" s="199" t="n"/>
      <c r="J10" s="199" t="n"/>
      <c r="K10" s="199" t="n"/>
      <c r="L10" s="199" t="n"/>
      <c r="M10" s="199" t="n"/>
      <c r="N10" s="199" t="n"/>
      <c r="O10" s="199" t="n"/>
      <c r="P10" s="199" t="n"/>
      <c r="Q10" s="199" t="n"/>
      <c r="R10" s="199" t="n"/>
      <c r="S10" s="199" t="n"/>
      <c r="T10" s="199" t="n"/>
    </row>
    <row r="11" ht="17.1" customFormat="1" customHeight="1" s="74" thickBot="1">
      <c r="A11" s="256" t="inlineStr">
        <is>
          <t>Output</t>
        </is>
      </c>
      <c r="B11" s="199" t="n"/>
      <c r="C11" s="199" t="n"/>
      <c r="D11" s="199" t="n"/>
      <c r="E11" s="199" t="n"/>
      <c r="F11" s="199" t="n"/>
      <c r="G11" s="199" t="n"/>
      <c r="H11" s="199" t="n"/>
      <c r="I11" s="199" t="n"/>
      <c r="J11" s="199" t="n"/>
      <c r="K11" s="199" t="n"/>
      <c r="L11" s="199" t="n"/>
      <c r="M11" s="199" t="n"/>
      <c r="N11" s="199" t="n"/>
      <c r="O11" s="199" t="n"/>
      <c r="P11" s="199" t="n"/>
      <c r="Q11" s="199" t="n"/>
      <c r="R11" s="199" t="n"/>
      <c r="S11" s="199" t="n"/>
      <c r="T11" s="199" t="n"/>
    </row>
    <row r="12" ht="17.1" customFormat="1" customHeight="1" s="74" thickBot="1">
      <c r="A12" s="199" t="inlineStr">
        <is>
          <t>Interest  coverage ratio =</t>
        </is>
      </c>
      <c r="B12" s="199" t="n"/>
      <c r="C12" s="199" t="n"/>
      <c r="D12" s="349">
        <f>IF(F9=0,1000000,IF(F8&lt;0,-100000,F8/F9))</f>
        <v/>
      </c>
      <c r="E12" s="199" t="n"/>
      <c r="F12" s="199" t="n"/>
      <c r="G12" s="199" t="n"/>
      <c r="H12" s="199" t="n"/>
      <c r="I12" s="199" t="n"/>
      <c r="J12" s="199" t="n"/>
      <c r="K12" s="199" t="n"/>
      <c r="L12" s="199" t="n"/>
      <c r="M12" s="199" t="n"/>
      <c r="N12" s="199" t="n"/>
      <c r="O12" s="199" t="n"/>
      <c r="P12" s="199" t="n"/>
      <c r="Q12" s="199" t="n"/>
      <c r="R12" s="199" t="n"/>
      <c r="S12" s="199" t="n"/>
      <c r="T12" s="199" t="n"/>
    </row>
    <row r="13" ht="17.1" customFormat="1" customHeight="1" s="74" thickBot="1">
      <c r="A13" s="199" t="inlineStr">
        <is>
          <t>Estimated Bond Rating =</t>
        </is>
      </c>
      <c r="B13" s="199" t="n"/>
      <c r="C13" s="199" t="n"/>
      <c r="D13" s="350">
        <f>IF(C7=1,VLOOKUP(D12,A22:D36,3),(IF(C7=2,VLOOKUP(D12,A41:D55,3),VLOOKUP(D12,F22:I36,3))))</f>
        <v/>
      </c>
      <c r="E13" s="199" t="n"/>
      <c r="F13" s="322" t="inlineStr">
        <is>
          <t>Note: If you get REF! All over the place, set the operating lease commitment question in cell F5</t>
        </is>
      </c>
      <c r="G13" s="199" t="n"/>
      <c r="H13" s="199" t="n"/>
      <c r="I13" s="199" t="n"/>
      <c r="J13" s="199" t="n"/>
      <c r="K13" s="199" t="n"/>
      <c r="L13" s="199" t="n"/>
      <c r="M13" s="199" t="n"/>
      <c r="N13" s="199" t="n"/>
      <c r="O13" s="199" t="n"/>
      <c r="P13" s="199" t="n"/>
      <c r="Q13" s="199" t="n"/>
      <c r="R13" s="199" t="n"/>
      <c r="S13" s="199" t="n"/>
      <c r="T13" s="199" t="n"/>
    </row>
    <row r="14" ht="17.1" customFormat="1" customHeight="1" s="74" thickBot="1">
      <c r="A14" s="199" t="inlineStr">
        <is>
          <t>Estimated Company Default Spread =</t>
        </is>
      </c>
      <c r="B14" s="199" t="n"/>
      <c r="C14" s="199" t="n"/>
      <c r="D14" s="351">
        <f>IF(C7=1,VLOOKUP(D12,A22:D36,4),(IF(C7=2,VLOOKUP(D12,A41:D55,4),VLOOKUP(D12,F22:I36,4))))</f>
        <v/>
      </c>
      <c r="E14" s="199" t="n"/>
      <c r="F14" s="322" t="inlineStr">
        <is>
          <t>to No, and then reset it to Yes. It should work.</t>
        </is>
      </c>
      <c r="G14" s="199" t="n"/>
      <c r="H14" s="199" t="n"/>
      <c r="I14" s="199" t="n"/>
      <c r="J14" s="199" t="n"/>
      <c r="K14" s="199" t="n"/>
      <c r="L14" s="199" t="n"/>
      <c r="M14" s="199" t="n"/>
      <c r="N14" s="199" t="n"/>
      <c r="O14" s="199" t="n"/>
      <c r="P14" s="199" t="n"/>
      <c r="Q14" s="199" t="n"/>
      <c r="R14" s="199" t="n"/>
      <c r="S14" s="199" t="n"/>
      <c r="T14" s="199" t="n"/>
    </row>
    <row r="15" ht="17.1" customFormat="1" customHeight="1" s="74" thickBot="1">
      <c r="A15" s="199" t="inlineStr">
        <is>
          <t>Estimated County Default Spread (if any) =</t>
        </is>
      </c>
      <c r="B15" s="199" t="n"/>
      <c r="C15" s="199" t="n"/>
      <c r="D15" s="351">
        <f>VLOOKUP('Input sheet'!B7,'Country equity risk premiums'!A5:C195,3)</f>
        <v/>
      </c>
      <c r="E15" s="199" t="n"/>
      <c r="F15" s="322" t="n"/>
      <c r="G15" s="199" t="n"/>
      <c r="H15" s="199" t="n"/>
      <c r="I15" s="199" t="n"/>
      <c r="J15" s="199" t="n"/>
      <c r="K15" s="199" t="n"/>
      <c r="L15" s="199" t="n"/>
      <c r="M15" s="199" t="n"/>
      <c r="N15" s="199" t="n"/>
      <c r="O15" s="199" t="n"/>
      <c r="P15" s="199" t="n"/>
      <c r="Q15" s="199" t="n"/>
      <c r="R15" s="199" t="n"/>
      <c r="S15" s="199" t="n"/>
      <c r="T15" s="199" t="n"/>
    </row>
    <row r="16" ht="17.1" customFormat="1" customHeight="1" s="6" thickBot="1">
      <c r="A16" s="199" t="inlineStr">
        <is>
          <t>Estimated Cost of Debt =</t>
        </is>
      </c>
      <c r="B16" s="199" t="n"/>
      <c r="C16" s="199" t="n"/>
      <c r="D16" s="352">
        <f>F10+D14+D15</f>
        <v/>
      </c>
      <c r="E16" s="199" t="n"/>
      <c r="F16" s="199" t="n"/>
      <c r="G16" s="199" t="n"/>
      <c r="H16" s="199" t="n"/>
      <c r="I16" s="199" t="n"/>
      <c r="J16" s="199" t="n"/>
      <c r="K16" s="199" t="n"/>
      <c r="L16" s="199" t="n"/>
      <c r="M16" s="199" t="n"/>
      <c r="N16" s="199" t="n"/>
      <c r="O16" s="199" t="n"/>
      <c r="P16" s="199" t="n"/>
      <c r="Q16" s="199" t="n"/>
      <c r="R16" s="199" t="n"/>
      <c r="S16" s="199" t="n"/>
      <c r="T16" s="199" t="n"/>
    </row>
    <row r="17" customFormat="1" s="6">
      <c r="A17" s="199" t="n"/>
      <c r="B17" s="199" t="n"/>
      <c r="C17" s="199" t="n"/>
      <c r="D17" s="353" t="n"/>
      <c r="E17" s="199" t="n"/>
      <c r="F17" s="199" t="n"/>
      <c r="G17" s="199" t="n"/>
      <c r="H17" s="199" t="n"/>
      <c r="I17" s="199" t="n"/>
      <c r="J17" s="199" t="n"/>
      <c r="K17" s="199" t="n"/>
      <c r="L17" s="199" t="n"/>
      <c r="M17" s="199" t="n"/>
      <c r="N17" s="199" t="n"/>
      <c r="O17" s="199" t="n"/>
      <c r="P17" s="199" t="n"/>
      <c r="Q17" s="199" t="n"/>
      <c r="R17" s="199" t="n"/>
      <c r="S17" s="199" t="n"/>
      <c r="T17" s="199"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6" t="inlineStr">
        <is>
          <t>For large manufacturing firms</t>
        </is>
      </c>
      <c r="B19" s="199" t="n"/>
      <c r="C19" s="199" t="n"/>
      <c r="D19" s="199" t="n"/>
      <c r="E19" s="199" t="n"/>
      <c r="F19" s="199" t="n"/>
      <c r="G19" s="199" t="n"/>
      <c r="H19" s="199" t="n"/>
      <c r="I19" s="199" t="n"/>
      <c r="J19" s="725" t="inlineStr">
        <is>
          <t>Default Probabilities over time (1 - 10 year time horizons)</t>
        </is>
      </c>
      <c r="K19" s="620" t="n"/>
      <c r="L19" s="620" t="n"/>
      <c r="M19" s="620" t="n"/>
      <c r="N19" s="620" t="n"/>
      <c r="O19" s="620" t="n"/>
      <c r="P19" s="620" t="n"/>
      <c r="Q19" s="620" t="n"/>
      <c r="R19" s="620" t="n"/>
      <c r="S19" s="620" t="n"/>
      <c r="T19" s="621" t="n"/>
    </row>
    <row r="20" customFormat="1" s="74">
      <c r="A20" s="355" t="inlineStr">
        <is>
          <t>If interest coverage ratio is</t>
        </is>
      </c>
      <c r="B20" s="355" t="n"/>
      <c r="C20" s="356" t="n"/>
      <c r="D20" s="356" t="n"/>
      <c r="E20" s="199" t="n"/>
      <c r="F20" s="199" t="n"/>
      <c r="G20" s="199" t="n"/>
      <c r="H20" s="199" t="n"/>
      <c r="I20" s="199"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9" t="n"/>
      <c r="F21" s="199" t="n"/>
      <c r="G21" s="199" t="n"/>
      <c r="H21" s="199" t="n"/>
      <c r="I21" s="199"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9" t="n"/>
      <c r="F22" s="199" t="n"/>
      <c r="G22" s="199" t="n"/>
      <c r="H22" s="199" t="n"/>
      <c r="I22" s="199"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9" t="n"/>
      <c r="F23" s="326" t="n"/>
      <c r="G23" s="199" t="n"/>
      <c r="H23" s="199" t="n"/>
      <c r="I23" s="199"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9" t="n"/>
      <c r="F24" s="199" t="n"/>
      <c r="G24" s="199" t="n"/>
      <c r="H24" s="199" t="n"/>
      <c r="I24" s="199"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9" t="n"/>
      <c r="F25" s="199" t="n"/>
      <c r="G25" s="199" t="n"/>
      <c r="H25" s="199" t="n"/>
      <c r="I25" s="199"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9" t="n"/>
      <c r="F26" s="199" t="n"/>
      <c r="G26" s="199" t="n"/>
      <c r="H26" s="199" t="n"/>
      <c r="I26" s="199"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9" t="n"/>
      <c r="F27" s="199" t="n"/>
      <c r="G27" s="199" t="n"/>
      <c r="H27" s="199" t="n"/>
      <c r="I27" s="199"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9" t="n"/>
      <c r="F28" s="199" t="n"/>
      <c r="G28" s="199" t="n"/>
      <c r="H28" s="199" t="n"/>
      <c r="I28" s="199" t="n"/>
      <c r="J28" s="199" t="n"/>
      <c r="K28" s="199" t="n"/>
      <c r="L28" s="199" t="n"/>
      <c r="M28" s="199" t="n"/>
      <c r="N28" s="199" t="n"/>
      <c r="O28" s="199" t="n"/>
      <c r="P28" s="199" t="n"/>
      <c r="Q28" s="199" t="n"/>
      <c r="R28" s="199" t="n"/>
      <c r="S28" s="199" t="n"/>
      <c r="T28" s="199" t="n"/>
    </row>
    <row r="29" customFormat="1" s="74">
      <c r="A29" s="326" t="n">
        <v>2</v>
      </c>
      <c r="B29" s="326" t="n">
        <v>2.2499999</v>
      </c>
      <c r="C29" s="326" t="inlineStr">
        <is>
          <t>Ba2/BB</t>
        </is>
      </c>
      <c r="D29" s="358" t="n">
        <v>0.0221</v>
      </c>
      <c r="E29" s="199" t="n"/>
      <c r="F29" s="199" t="n"/>
      <c r="G29" s="199" t="n"/>
      <c r="H29" s="199" t="n"/>
      <c r="I29" s="199" t="n"/>
      <c r="J29" s="199" t="n"/>
      <c r="K29" s="199" t="n"/>
      <c r="L29" s="199" t="n"/>
      <c r="M29" s="199" t="n"/>
      <c r="N29" s="199" t="n"/>
      <c r="O29" s="199" t="n"/>
      <c r="P29" s="199" t="n"/>
      <c r="Q29" s="199" t="n"/>
      <c r="R29" s="199" t="n"/>
      <c r="S29" s="199" t="n"/>
      <c r="T29" s="199" t="n"/>
    </row>
    <row r="30" customFormat="1" s="74">
      <c r="A30" s="326" t="n">
        <v>2.25</v>
      </c>
      <c r="B30" s="326" t="n">
        <v>2.49999</v>
      </c>
      <c r="C30" s="326" t="inlineStr">
        <is>
          <t>Ba1/BB+</t>
        </is>
      </c>
      <c r="D30" s="358" t="n">
        <v>0.0174</v>
      </c>
      <c r="E30" s="199" t="n"/>
      <c r="F30" s="199" t="n"/>
      <c r="G30" s="199" t="n"/>
      <c r="H30" s="199" t="n"/>
      <c r="I30" s="199" t="n"/>
      <c r="J30" s="199" t="n"/>
      <c r="K30" s="199" t="n"/>
      <c r="L30" s="199" t="n"/>
      <c r="M30" s="199" t="n"/>
      <c r="N30" s="199" t="n"/>
      <c r="O30" s="199" t="n"/>
      <c r="P30" s="199" t="n"/>
      <c r="Q30" s="199" t="n"/>
      <c r="R30" s="199" t="n"/>
      <c r="S30" s="199" t="n"/>
      <c r="T30" s="199" t="n"/>
    </row>
    <row r="31" customFormat="1" s="74">
      <c r="A31" s="326" t="n">
        <v>2.5</v>
      </c>
      <c r="B31" s="326" t="n">
        <v>2.999999</v>
      </c>
      <c r="C31" s="326" t="inlineStr">
        <is>
          <t>Baa2/BBB</t>
        </is>
      </c>
      <c r="D31" s="358" t="n">
        <v>0.0147</v>
      </c>
      <c r="E31" s="199" t="n"/>
      <c r="F31" s="199" t="n"/>
      <c r="G31" s="199" t="n"/>
      <c r="H31" s="199" t="n"/>
      <c r="I31" s="199" t="n"/>
      <c r="J31" s="199" t="n"/>
      <c r="K31" s="199" t="n"/>
      <c r="L31" s="199" t="n"/>
      <c r="M31" s="199" t="n"/>
      <c r="N31" s="199" t="n"/>
      <c r="O31" s="199" t="n"/>
      <c r="P31" s="199" t="n"/>
      <c r="Q31" s="199" t="n"/>
      <c r="R31" s="199" t="n"/>
      <c r="S31" s="199" t="n"/>
      <c r="T31" s="199" t="n"/>
    </row>
    <row r="32" customFormat="1" s="74">
      <c r="A32" s="326" t="n">
        <v>3</v>
      </c>
      <c r="B32" s="326" t="n">
        <v>4.249999</v>
      </c>
      <c r="C32" s="326" t="inlineStr">
        <is>
          <t>A3/A-</t>
        </is>
      </c>
      <c r="D32" s="358" t="n">
        <v>0.0121</v>
      </c>
      <c r="E32" s="199" t="n"/>
      <c r="F32" s="199" t="n"/>
      <c r="G32" s="199" t="n"/>
      <c r="H32" s="199" t="n"/>
      <c r="I32" s="199" t="n"/>
      <c r="J32" s="199" t="n"/>
      <c r="K32" s="199" t="n"/>
      <c r="L32" s="199" t="n"/>
      <c r="M32" s="199" t="n"/>
      <c r="N32" s="199" t="n"/>
      <c r="O32" s="199" t="n"/>
      <c r="P32" s="199" t="n"/>
      <c r="Q32" s="199" t="n"/>
      <c r="R32" s="199" t="n"/>
      <c r="S32" s="199" t="n"/>
      <c r="T32" s="199" t="n"/>
    </row>
    <row r="33" customFormat="1" s="74">
      <c r="A33" s="326" t="n">
        <v>4.25</v>
      </c>
      <c r="B33" s="326" t="n">
        <v>5.499999</v>
      </c>
      <c r="C33" s="326" t="inlineStr">
        <is>
          <t>A2/A</t>
        </is>
      </c>
      <c r="D33" s="358" t="n">
        <v>0.0107</v>
      </c>
      <c r="E33" s="199" t="n"/>
      <c r="F33" s="199" t="n"/>
      <c r="G33" s="199" t="n"/>
      <c r="H33" s="199" t="n"/>
      <c r="I33" s="199" t="n"/>
      <c r="J33" s="199" t="n"/>
      <c r="K33" s="199" t="n"/>
      <c r="L33" s="199" t="n"/>
      <c r="M33" s="199" t="n"/>
      <c r="N33" s="199" t="n"/>
      <c r="O33" s="199" t="n"/>
      <c r="P33" s="199" t="n"/>
      <c r="Q33" s="199" t="n"/>
      <c r="R33" s="199" t="n"/>
      <c r="S33" s="199" t="n"/>
      <c r="T33" s="199" t="n"/>
    </row>
    <row r="34" customFormat="1" s="74">
      <c r="A34" s="326" t="n">
        <v>5.5</v>
      </c>
      <c r="B34" s="326" t="n">
        <v>6.499999</v>
      </c>
      <c r="C34" s="326" t="inlineStr">
        <is>
          <t>A1/A+</t>
        </is>
      </c>
      <c r="D34" s="358" t="n">
        <v>0.0092</v>
      </c>
      <c r="E34" s="199" t="n"/>
      <c r="F34" s="199" t="n"/>
      <c r="G34" s="199" t="n"/>
      <c r="H34" s="199" t="n"/>
      <c r="I34" s="199" t="n"/>
      <c r="J34" s="199" t="n"/>
      <c r="K34" s="199" t="n"/>
      <c r="L34" s="199" t="n"/>
      <c r="M34" s="199" t="n"/>
      <c r="N34" s="199" t="n"/>
      <c r="O34" s="199" t="n"/>
      <c r="P34" s="199" t="n"/>
      <c r="Q34" s="199" t="n"/>
      <c r="R34" s="199" t="n"/>
      <c r="S34" s="199" t="n"/>
      <c r="T34" s="199" t="n"/>
    </row>
    <row r="35" customFormat="1" s="74">
      <c r="A35" s="326" t="n">
        <v>6.5</v>
      </c>
      <c r="B35" s="326" t="n">
        <v>8.499999000000001</v>
      </c>
      <c r="C35" s="326" t="inlineStr">
        <is>
          <t>Aa2/AA</t>
        </is>
      </c>
      <c r="D35" s="358" t="n">
        <v>0.007</v>
      </c>
      <c r="E35" s="199" t="n"/>
      <c r="F35" s="199" t="n"/>
      <c r="G35" s="199" t="n"/>
      <c r="H35" s="199" t="n"/>
      <c r="I35" s="199" t="n"/>
      <c r="J35" s="199" t="n"/>
      <c r="K35" s="199" t="n"/>
      <c r="L35" s="199" t="n"/>
      <c r="M35" s="199" t="n"/>
      <c r="N35" s="199" t="n"/>
      <c r="O35" s="199" t="n"/>
      <c r="P35" s="199" t="n"/>
      <c r="Q35" s="199" t="n"/>
      <c r="R35" s="199" t="n"/>
      <c r="S35" s="199" t="n"/>
      <c r="T35" s="199" t="n"/>
    </row>
    <row r="36" customFormat="1" s="74">
      <c r="A36" s="359" t="n">
        <v>8.5</v>
      </c>
      <c r="B36" s="326" t="n">
        <v>100000</v>
      </c>
      <c r="C36" s="326" t="inlineStr">
        <is>
          <t>Aaa/AAA</t>
        </is>
      </c>
      <c r="D36" s="358" t="n">
        <v>0.0059</v>
      </c>
      <c r="E36" s="199" t="n"/>
      <c r="F36" s="199" t="n"/>
      <c r="G36" s="199" t="n"/>
      <c r="H36" s="199" t="n"/>
      <c r="I36" s="199" t="n"/>
      <c r="J36" s="199" t="n"/>
      <c r="K36" s="199" t="n"/>
      <c r="L36" s="199" t="n"/>
      <c r="M36" s="199" t="n"/>
      <c r="N36" s="199" t="n"/>
      <c r="O36" s="199" t="n"/>
      <c r="P36" s="199" t="n"/>
      <c r="Q36" s="199" t="n"/>
      <c r="R36" s="199" t="n"/>
      <c r="S36" s="199" t="n"/>
      <c r="T36" s="199" t="n"/>
    </row>
    <row r="37" customFormat="1" s="74">
      <c r="A37" s="199" t="n"/>
      <c r="B37" s="199" t="n"/>
      <c r="C37" s="199" t="n"/>
      <c r="D37" s="199" t="n"/>
      <c r="E37" s="199" t="n"/>
      <c r="F37" s="199" t="n"/>
      <c r="G37" s="199" t="n"/>
      <c r="H37" s="199" t="n"/>
      <c r="I37" s="199" t="n"/>
      <c r="J37" s="199" t="n"/>
      <c r="K37" s="199" t="n"/>
      <c r="L37" s="199" t="n"/>
      <c r="M37" s="199" t="n"/>
      <c r="N37" s="199" t="n"/>
      <c r="O37" s="199" t="n"/>
      <c r="P37" s="199" t="n"/>
      <c r="Q37" s="199" t="n"/>
      <c r="R37" s="199" t="n"/>
      <c r="S37" s="199" t="n"/>
      <c r="T37" s="199" t="n"/>
    </row>
    <row r="38" customFormat="1" s="74">
      <c r="A38" s="256" t="inlineStr">
        <is>
          <t>For smaller and riskier firms</t>
        </is>
      </c>
      <c r="B38" s="199" t="n"/>
      <c r="C38" s="199" t="n"/>
      <c r="D38" s="199" t="n"/>
      <c r="E38" s="199" t="n"/>
      <c r="F38" s="199" t="n"/>
      <c r="G38" s="199" t="n"/>
      <c r="H38" s="199" t="n"/>
      <c r="I38" s="199" t="n"/>
      <c r="J38" s="199" t="n"/>
      <c r="K38" s="199" t="n"/>
      <c r="L38" s="199" t="n"/>
      <c r="M38" s="199" t="n"/>
      <c r="N38" s="199" t="n"/>
      <c r="O38" s="199" t="n"/>
      <c r="P38" s="199" t="n"/>
      <c r="Q38" s="199" t="n"/>
      <c r="R38" s="199" t="n"/>
      <c r="S38" s="199" t="n"/>
      <c r="T38" s="199" t="n"/>
    </row>
    <row r="39" customFormat="1" s="74">
      <c r="A39" s="355" t="inlineStr">
        <is>
          <t>If interest coverage ratio is</t>
        </is>
      </c>
      <c r="B39" s="360" t="n"/>
      <c r="C39" s="326" t="n"/>
      <c r="D39" s="326" t="n"/>
      <c r="E39" s="199" t="n"/>
      <c r="F39" s="199" t="n"/>
      <c r="G39" s="199" t="n"/>
      <c r="H39" s="199" t="n"/>
      <c r="I39" s="199" t="n"/>
      <c r="J39" s="199" t="n"/>
      <c r="K39" s="199" t="n"/>
      <c r="L39" s="199" t="n"/>
      <c r="M39" s="199" t="n"/>
      <c r="N39" s="199" t="n"/>
      <c r="O39" s="199" t="n"/>
      <c r="P39" s="199" t="n"/>
      <c r="Q39" s="199" t="n"/>
      <c r="R39" s="199" t="n"/>
      <c r="S39" s="199" t="n"/>
      <c r="T39" s="199" t="n"/>
    </row>
    <row r="40" customFormat="1" s="74">
      <c r="A40" s="326" t="inlineStr">
        <is>
          <t>greater than</t>
        </is>
      </c>
      <c r="B40" s="326" t="inlineStr">
        <is>
          <t>≤ to</t>
        </is>
      </c>
      <c r="C40" s="326" t="inlineStr">
        <is>
          <t>Rating is</t>
        </is>
      </c>
      <c r="D40" s="326" t="inlineStr">
        <is>
          <t>Spread is</t>
        </is>
      </c>
      <c r="E40" s="199" t="n"/>
      <c r="F40" s="199" t="n"/>
      <c r="G40" s="199" t="n"/>
      <c r="H40" s="199" t="n"/>
      <c r="I40" s="199" t="n"/>
      <c r="J40" s="199" t="n"/>
      <c r="K40" s="199" t="n"/>
      <c r="L40" s="199" t="n"/>
      <c r="M40" s="199" t="n"/>
      <c r="N40" s="199" t="n"/>
      <c r="O40" s="199" t="n"/>
      <c r="P40" s="199" t="n"/>
      <c r="Q40" s="199" t="n"/>
      <c r="R40" s="199" t="n"/>
      <c r="S40" s="199" t="n"/>
      <c r="T40" s="199" t="n"/>
    </row>
    <row r="41" customFormat="1" s="74">
      <c r="A41" s="326" t="n">
        <v>-100000</v>
      </c>
      <c r="B41" s="326" t="n">
        <v>0.499999</v>
      </c>
      <c r="C41" s="326" t="inlineStr">
        <is>
          <t>D2/D</t>
        </is>
      </c>
      <c r="D41" s="358" t="n">
        <v>0.2</v>
      </c>
      <c r="E41" s="199" t="n"/>
      <c r="F41" s="199" t="n"/>
      <c r="G41" s="357" t="inlineStr">
        <is>
          <t>Rating is</t>
        </is>
      </c>
      <c r="H41" s="357" t="inlineStr">
        <is>
          <t>Spread is</t>
        </is>
      </c>
      <c r="I41" s="199" t="n"/>
      <c r="J41" s="199" t="n"/>
      <c r="K41" s="199" t="n"/>
      <c r="L41" s="199" t="n"/>
      <c r="M41" s="199" t="n"/>
      <c r="N41" s="199" t="n"/>
      <c r="O41" s="199" t="n"/>
      <c r="P41" s="199" t="n"/>
      <c r="Q41" s="199" t="n"/>
      <c r="R41" s="199" t="n"/>
      <c r="S41" s="199" t="n"/>
      <c r="T41" s="199" t="n"/>
    </row>
    <row r="42" customFormat="1" s="74">
      <c r="A42" s="326" t="n">
        <v>0.5</v>
      </c>
      <c r="B42" s="326" t="n">
        <v>0.799999</v>
      </c>
      <c r="C42" s="326" t="inlineStr">
        <is>
          <t>C2/C</t>
        </is>
      </c>
      <c r="D42" s="358" t="n">
        <v>0.17</v>
      </c>
      <c r="E42" s="199" t="n"/>
      <c r="F42" s="199" t="n"/>
      <c r="G42" s="326" t="inlineStr">
        <is>
          <t>A1/A+</t>
        </is>
      </c>
      <c r="H42" s="358" t="n">
        <v>0.0092</v>
      </c>
      <c r="I42" s="199" t="n"/>
      <c r="J42" s="199" t="n"/>
      <c r="K42" s="199" t="n"/>
      <c r="L42" s="199" t="n"/>
      <c r="M42" s="199" t="n"/>
      <c r="N42" s="199" t="n"/>
      <c r="O42" s="199" t="n"/>
      <c r="P42" s="199" t="n"/>
      <c r="Q42" s="199" t="n"/>
      <c r="R42" s="199" t="n"/>
      <c r="S42" s="199" t="n"/>
      <c r="T42" s="199" t="n"/>
    </row>
    <row r="43" customFormat="1" s="74">
      <c r="A43" s="326" t="n">
        <v>0.8</v>
      </c>
      <c r="B43" s="326" t="n">
        <v>1.249999</v>
      </c>
      <c r="C43" s="326" t="inlineStr">
        <is>
          <t>Ca2/CC</t>
        </is>
      </c>
      <c r="D43" s="358" t="n">
        <v>0.1178</v>
      </c>
      <c r="E43" s="199" t="n"/>
      <c r="F43" s="199" t="n"/>
      <c r="G43" s="326" t="inlineStr">
        <is>
          <t>A2/A</t>
        </is>
      </c>
      <c r="H43" s="358" t="n">
        <v>0.0107</v>
      </c>
      <c r="I43" s="199" t="n"/>
      <c r="J43" s="199" t="n"/>
      <c r="K43" s="199" t="n"/>
      <c r="L43" s="199" t="n"/>
      <c r="M43" s="199" t="n"/>
      <c r="N43" s="199" t="n"/>
      <c r="O43" s="199" t="n"/>
      <c r="P43" s="199" t="n"/>
      <c r="Q43" s="199" t="n"/>
      <c r="R43" s="199" t="n"/>
      <c r="S43" s="199" t="n"/>
      <c r="T43" s="199" t="n"/>
    </row>
    <row r="44" customFormat="1" s="74">
      <c r="A44" s="326" t="n">
        <v>1.25</v>
      </c>
      <c r="B44" s="326" t="n">
        <v>1.499999</v>
      </c>
      <c r="C44" s="326" t="inlineStr">
        <is>
          <t>Caa/CCC</t>
        </is>
      </c>
      <c r="D44" s="358" t="n">
        <v>0.0851</v>
      </c>
      <c r="E44" s="199" t="n"/>
      <c r="F44" s="199" t="n"/>
      <c r="G44" s="326" t="inlineStr">
        <is>
          <t>A3/A-</t>
        </is>
      </c>
      <c r="H44" s="358" t="n">
        <v>0.0121</v>
      </c>
      <c r="I44" s="199" t="n"/>
      <c r="J44" s="199" t="n"/>
      <c r="K44" s="199" t="n"/>
      <c r="L44" s="199" t="n"/>
      <c r="M44" s="199" t="n"/>
      <c r="N44" s="199" t="n"/>
      <c r="O44" s="199" t="n"/>
      <c r="P44" s="199" t="n"/>
      <c r="Q44" s="199" t="n"/>
      <c r="R44" s="199" t="n"/>
      <c r="S44" s="199" t="n"/>
      <c r="T44" s="199" t="n"/>
    </row>
    <row r="45" customFormat="1" s="74">
      <c r="A45" s="326" t="n">
        <v>1.5</v>
      </c>
      <c r="B45" s="326" t="n">
        <v>1.999999</v>
      </c>
      <c r="C45" s="326" t="inlineStr">
        <is>
          <t>B3/B-</t>
        </is>
      </c>
      <c r="D45" s="358" t="n">
        <v>0.0524</v>
      </c>
      <c r="E45" s="199" t="n"/>
      <c r="F45" s="199" t="n"/>
      <c r="G45" s="326" t="inlineStr">
        <is>
          <t>Aa2/AA</t>
        </is>
      </c>
      <c r="H45" s="358" t="n">
        <v>0.007</v>
      </c>
      <c r="I45" s="199" t="n"/>
      <c r="J45" s="199" t="n"/>
      <c r="K45" s="199" t="n"/>
      <c r="L45" s="199" t="n"/>
      <c r="M45" s="199" t="n"/>
      <c r="N45" s="199" t="n"/>
      <c r="O45" s="199" t="n"/>
      <c r="P45" s="199" t="n"/>
      <c r="Q45" s="199" t="n"/>
      <c r="R45" s="199" t="n"/>
      <c r="S45" s="199" t="n"/>
      <c r="T45" s="199" t="n"/>
    </row>
    <row r="46" customFormat="1" s="74">
      <c r="A46" s="326" t="n">
        <v>2</v>
      </c>
      <c r="B46" s="326" t="n">
        <v>2.499999</v>
      </c>
      <c r="C46" s="326" t="inlineStr">
        <is>
          <t>B2/B</t>
        </is>
      </c>
      <c r="D46" s="358" t="n">
        <v>0.0361</v>
      </c>
      <c r="E46" s="199" t="n"/>
      <c r="F46" s="199" t="n"/>
      <c r="G46" s="326" t="inlineStr">
        <is>
          <t>Aaa/AAA</t>
        </is>
      </c>
      <c r="H46" s="358" t="n">
        <v>0.0059</v>
      </c>
      <c r="I46" s="199" t="n"/>
      <c r="J46" s="199" t="n"/>
      <c r="K46" s="199" t="n"/>
      <c r="L46" s="199" t="n"/>
      <c r="M46" s="199" t="n"/>
      <c r="N46" s="199" t="n"/>
      <c r="O46" s="199" t="n"/>
      <c r="P46" s="199" t="n"/>
      <c r="Q46" s="199" t="n"/>
      <c r="R46" s="199" t="n"/>
      <c r="S46" s="199" t="n"/>
      <c r="T46" s="199" t="n"/>
    </row>
    <row r="47" customFormat="1" s="74">
      <c r="A47" s="326" t="n">
        <v>2.5</v>
      </c>
      <c r="B47" s="326" t="n">
        <v>2.999999</v>
      </c>
      <c r="C47" s="326" t="inlineStr">
        <is>
          <t>B1/B+</t>
        </is>
      </c>
      <c r="D47" s="358" t="n">
        <v>0.0314</v>
      </c>
      <c r="E47" s="199" t="n"/>
      <c r="F47" s="199" t="n"/>
      <c r="G47" s="326" t="inlineStr">
        <is>
          <t>B1/B+</t>
        </is>
      </c>
      <c r="H47" s="358" t="n">
        <v>0.0314</v>
      </c>
      <c r="I47" s="199" t="n"/>
      <c r="J47" s="199" t="n"/>
      <c r="K47" s="199" t="n"/>
      <c r="L47" s="199" t="n"/>
      <c r="M47" s="199" t="n"/>
      <c r="N47" s="199" t="n"/>
      <c r="O47" s="199" t="n"/>
      <c r="P47" s="199" t="n"/>
      <c r="Q47" s="199" t="n"/>
      <c r="R47" s="199" t="n"/>
      <c r="S47" s="199" t="n"/>
      <c r="T47" s="199" t="n"/>
    </row>
    <row r="48" customFormat="1" s="74">
      <c r="A48" s="326" t="n">
        <v>3</v>
      </c>
      <c r="B48" s="326" t="n">
        <v>3.499999</v>
      </c>
      <c r="C48" s="326" t="inlineStr">
        <is>
          <t>Ba2/BB</t>
        </is>
      </c>
      <c r="D48" s="358" t="n">
        <v>0.0221</v>
      </c>
      <c r="E48" s="199" t="n"/>
      <c r="F48" s="199" t="n"/>
      <c r="G48" s="326" t="inlineStr">
        <is>
          <t>B2/B</t>
        </is>
      </c>
      <c r="H48" s="358" t="n">
        <v>0.0361</v>
      </c>
      <c r="I48" s="199" t="n"/>
      <c r="J48" s="199" t="n"/>
      <c r="K48" s="199" t="n"/>
      <c r="L48" s="199" t="n"/>
      <c r="M48" s="199" t="n"/>
      <c r="N48" s="199" t="n"/>
      <c r="O48" s="199" t="n"/>
      <c r="P48" s="199" t="n"/>
      <c r="Q48" s="199" t="n"/>
      <c r="R48" s="199" t="n"/>
      <c r="S48" s="199" t="n"/>
      <c r="T48" s="199" t="n"/>
    </row>
    <row r="49" customFormat="1" s="74">
      <c r="A49" s="326" t="n">
        <v>3.5</v>
      </c>
      <c r="B49" s="326" t="n">
        <v>3.9999999</v>
      </c>
      <c r="C49" s="326" t="inlineStr">
        <is>
          <t>Ba1/BB+</t>
        </is>
      </c>
      <c r="D49" s="358" t="n">
        <v>0.0174</v>
      </c>
      <c r="E49" s="199" t="n"/>
      <c r="F49" s="199" t="n"/>
      <c r="G49" s="326" t="inlineStr">
        <is>
          <t>B3/B-</t>
        </is>
      </c>
      <c r="H49" s="358" t="n">
        <v>0.0524</v>
      </c>
      <c r="I49" s="199" t="n"/>
      <c r="J49" s="199" t="n"/>
      <c r="K49" s="199" t="n"/>
      <c r="L49" s="199" t="n"/>
      <c r="M49" s="199" t="n"/>
      <c r="N49" s="199" t="n"/>
      <c r="O49" s="199" t="n"/>
      <c r="P49" s="199" t="n"/>
      <c r="Q49" s="199" t="n"/>
      <c r="R49" s="199" t="n"/>
      <c r="S49" s="199" t="n"/>
      <c r="T49" s="199" t="n"/>
    </row>
    <row r="50" customFormat="1" s="74">
      <c r="A50" s="326" t="n">
        <v>4</v>
      </c>
      <c r="B50" s="326" t="n">
        <v>4.499999</v>
      </c>
      <c r="C50" s="326" t="inlineStr">
        <is>
          <t>Baa2/BBB</t>
        </is>
      </c>
      <c r="D50" s="358" t="n">
        <v>0.0147</v>
      </c>
      <c r="E50" s="199" t="n"/>
      <c r="F50" s="199" t="n"/>
      <c r="G50" s="326" t="inlineStr">
        <is>
          <t>Ba1/BB+</t>
        </is>
      </c>
      <c r="H50" s="358" t="n">
        <v>0.0174</v>
      </c>
      <c r="I50" s="199" t="n"/>
      <c r="J50" s="199" t="n"/>
      <c r="K50" s="199" t="n"/>
      <c r="L50" s="199" t="n"/>
      <c r="M50" s="199" t="n"/>
      <c r="N50" s="199" t="n"/>
      <c r="O50" s="199" t="n"/>
      <c r="P50" s="199" t="n"/>
      <c r="Q50" s="199" t="n"/>
      <c r="R50" s="199" t="n"/>
      <c r="S50" s="199" t="n"/>
      <c r="T50" s="199" t="n"/>
    </row>
    <row r="51" customFormat="1" s="74">
      <c r="A51" s="326" t="n">
        <v>4.5</v>
      </c>
      <c r="B51" s="326" t="n">
        <v>5.999999</v>
      </c>
      <c r="C51" s="326" t="inlineStr">
        <is>
          <t>A3/A-</t>
        </is>
      </c>
      <c r="D51" s="358" t="n">
        <v>0.0121</v>
      </c>
      <c r="E51" s="199" t="n"/>
      <c r="F51" s="199" t="n"/>
      <c r="G51" s="326" t="inlineStr">
        <is>
          <t>Ba2/BB</t>
        </is>
      </c>
      <c r="H51" s="358" t="n">
        <v>0.0221</v>
      </c>
      <c r="I51" s="199" t="n"/>
      <c r="J51" s="199" t="n"/>
      <c r="K51" s="199" t="n"/>
      <c r="L51" s="199" t="n"/>
      <c r="M51" s="199" t="n"/>
      <c r="N51" s="199" t="n"/>
      <c r="O51" s="199" t="n"/>
      <c r="P51" s="199" t="n"/>
      <c r="Q51" s="199" t="n"/>
      <c r="R51" s="199" t="n"/>
      <c r="S51" s="199" t="n"/>
      <c r="T51" s="199" t="n"/>
    </row>
    <row r="52" customFormat="1" s="74">
      <c r="A52" s="326" t="n">
        <v>6</v>
      </c>
      <c r="B52" s="326" t="n">
        <v>7.499999</v>
      </c>
      <c r="C52" s="326" t="inlineStr">
        <is>
          <t>A2/A</t>
        </is>
      </c>
      <c r="D52" s="358" t="n">
        <v>0.0107</v>
      </c>
      <c r="E52" s="199" t="n"/>
      <c r="F52" s="199" t="n"/>
      <c r="G52" s="326" t="inlineStr">
        <is>
          <t>Baa2/BBB</t>
        </is>
      </c>
      <c r="H52" s="358" t="n">
        <v>0.0147</v>
      </c>
      <c r="I52" s="199" t="n"/>
      <c r="J52" s="199" t="n"/>
      <c r="K52" s="199" t="n"/>
      <c r="L52" s="199" t="n"/>
      <c r="M52" s="199" t="n"/>
      <c r="N52" s="199" t="n"/>
      <c r="O52" s="199" t="n"/>
      <c r="P52" s="199" t="n"/>
      <c r="Q52" s="199" t="n"/>
      <c r="R52" s="199" t="n"/>
      <c r="S52" s="199" t="n"/>
      <c r="T52" s="199" t="n"/>
    </row>
    <row r="53" customFormat="1" s="74">
      <c r="A53" s="326" t="n">
        <v>7.5</v>
      </c>
      <c r="B53" s="326" t="n">
        <v>9.499999000000001</v>
      </c>
      <c r="C53" s="326" t="inlineStr">
        <is>
          <t>A1/A+</t>
        </is>
      </c>
      <c r="D53" s="358" t="n">
        <v>0.0092</v>
      </c>
      <c r="E53" s="199" t="n"/>
      <c r="F53" s="199" t="n"/>
      <c r="G53" s="326" t="inlineStr">
        <is>
          <t>C2/C</t>
        </is>
      </c>
      <c r="H53" s="358" t="n">
        <v>0.17</v>
      </c>
      <c r="I53" s="199" t="n"/>
      <c r="J53" s="199" t="n"/>
      <c r="K53" s="199" t="n"/>
      <c r="L53" s="199" t="n"/>
      <c r="M53" s="199" t="n"/>
      <c r="N53" s="199" t="n"/>
      <c r="O53" s="199" t="n"/>
      <c r="P53" s="199" t="n"/>
      <c r="Q53" s="199" t="n"/>
      <c r="R53" s="199" t="n"/>
      <c r="S53" s="199" t="n"/>
      <c r="T53" s="199"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6" t="n">
        <v>49326</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45427</v>
      </c>
      <c r="C11" s="366" t="inlineStr">
        <is>
          <t>! Year -1 is the year prior to the current year</t>
        </is>
      </c>
      <c r="D11" s="366" t="n"/>
      <c r="E11" s="366" t="n"/>
      <c r="F11" s="366" t="n"/>
      <c r="G11" s="366" t="n"/>
      <c r="H11" s="366" t="n"/>
      <c r="I11" s="366" t="n"/>
      <c r="J11" s="367" t="n"/>
    </row>
    <row r="12" customFormat="1" s="96">
      <c r="A12" s="368">
        <f>IF((0-A11)&lt;$F$6,IF(A11&gt;-1,,A11-1),)</f>
        <v/>
      </c>
      <c r="B12" s="369" t="n">
        <v>39500</v>
      </c>
      <c r="C12" s="366" t="inlineStr">
        <is>
          <t>! Year -2 is the two years prior to the current year</t>
        </is>
      </c>
      <c r="D12" s="366" t="n"/>
      <c r="E12" s="366" t="n"/>
      <c r="F12" s="366" t="n"/>
      <c r="G12" s="366" t="n"/>
      <c r="H12" s="366" t="n"/>
      <c r="I12" s="366" t="n"/>
      <c r="J12" s="367" t="n"/>
    </row>
    <row r="13" customFormat="1" s="96">
      <c r="A13" s="368">
        <f>IF((0-A12)&lt;$F$6,IF(A12&gt;-1,,A12-1),)</f>
        <v/>
      </c>
      <c r="B13" s="369" t="n">
        <v>31562</v>
      </c>
      <c r="C13" s="366" t="n"/>
      <c r="D13" s="366" t="n"/>
      <c r="E13" s="366" t="n"/>
      <c r="F13" s="366" t="n"/>
      <c r="G13" s="366" t="n"/>
      <c r="H13" s="366" t="n"/>
      <c r="I13" s="366" t="n"/>
      <c r="J13" s="367" t="n"/>
    </row>
    <row r="14" customFormat="1" s="96">
      <c r="A14" s="368">
        <f>IF((0-A13)&lt;$F$6,IF(A13&gt;-1,,A13-1),)</f>
        <v/>
      </c>
      <c r="B14" s="369" t="n"/>
      <c r="C14" s="366" t="n"/>
      <c r="D14" s="366" t="n"/>
      <c r="E14" s="366" t="n"/>
      <c r="F14" s="366" t="n"/>
      <c r="G14" s="366" t="n"/>
      <c r="H14" s="366" t="n"/>
      <c r="I14" s="366" t="n"/>
      <c r="J14" s="367" t="n"/>
    </row>
    <row r="15" customFormat="1" s="96">
      <c r="A15" s="368">
        <f>IF((0-A14)&lt;$F$6,IF(A14&gt;-1,,A14-1),)</f>
        <v/>
      </c>
      <c r="B15" s="369" t="n"/>
      <c r="C15" s="366" t="n"/>
      <c r="D15" s="366" t="n"/>
      <c r="E15" s="366" t="n"/>
      <c r="F15" s="366" t="n"/>
      <c r="G15" s="366" t="n"/>
      <c r="H15" s="366" t="n"/>
      <c r="I15" s="366" t="n"/>
      <c r="J15" s="367" t="n"/>
    </row>
    <row r="16" customFormat="1" s="96">
      <c r="A16" s="368">
        <f>IF((0-A15)&lt;$F$6,IF(A15&gt;-1,,A15-1),)</f>
        <v/>
      </c>
      <c r="B16" s="369" t="n"/>
      <c r="C16" s="366" t="n"/>
      <c r="D16" s="366" t="n"/>
      <c r="E16" s="366" t="n"/>
      <c r="F16" s="366" t="n"/>
      <c r="G16" s="366" t="n"/>
      <c r="H16" s="366" t="n"/>
      <c r="I16" s="366" t="n"/>
      <c r="J16" s="367" t="n"/>
    </row>
    <row r="17" customFormat="1" s="96">
      <c r="A17" s="368">
        <f>IF((0-A16)&lt;$F$6,IF(A16&gt;-1,,A16-1),)</f>
        <v/>
      </c>
      <c r="B17" s="369" t="n"/>
      <c r="C17" s="366" t="n"/>
      <c r="D17" s="366" t="n"/>
      <c r="E17" s="366" t="n"/>
      <c r="F17" s="366" t="n"/>
      <c r="G17" s="366" t="n"/>
      <c r="H17" s="366" t="n"/>
      <c r="I17" s="366" t="n"/>
      <c r="J17" s="367" t="n"/>
    </row>
    <row r="18" customFormat="1" s="96">
      <c r="A18" s="368">
        <f>IF((0-A17)&lt;$F$6,IF(A17&gt;-1,,A17-1),)</f>
        <v/>
      </c>
      <c r="B18" s="369" t="n"/>
      <c r="C18" s="366" t="n"/>
      <c r="D18" s="366" t="n"/>
      <c r="E18" s="366" t="n"/>
      <c r="F18" s="366" t="n"/>
      <c r="G18" s="366" t="n"/>
      <c r="H18" s="366" t="n"/>
      <c r="I18" s="366" t="n"/>
      <c r="J18" s="367" t="n"/>
    </row>
    <row r="19" customFormat="1" s="96">
      <c r="A19" s="368">
        <f>IF((0-A18)&lt;$F$6,IF(A18&gt;-1,,A18-1),)</f>
        <v/>
      </c>
      <c r="B19" s="369" t="n"/>
      <c r="C19" s="366" t="n"/>
      <c r="D19" s="366" t="n"/>
      <c r="E19" s="366" t="n"/>
      <c r="F19" s="366" t="n"/>
      <c r="G19" s="366" t="n"/>
      <c r="H19" s="366" t="n"/>
      <c r="I19" s="366" t="n"/>
      <c r="J19" s="367" t="n"/>
    </row>
    <row r="20" customFormat="1" s="96">
      <c r="A20" s="368">
        <f>IF((0-A19)&lt;$F$6,IF(A19&gt;-1,,A19-1),)</f>
        <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f>F7</f>
        <v/>
      </c>
      <c r="C24" s="365">
        <f>1</f>
        <v/>
      </c>
      <c r="D24" s="365">
        <f>B24*C24</f>
        <v/>
      </c>
      <c r="E24" s="366" t="n"/>
      <c r="F24" s="366" t="n"/>
      <c r="G24" s="366" t="n"/>
      <c r="H24" s="366" t="n"/>
      <c r="I24" s="366" t="n"/>
      <c r="J24" s="367" t="n"/>
    </row>
    <row r="25" customFormat="1" s="96">
      <c r="A25" s="368">
        <f>A11</f>
        <v/>
      </c>
      <c r="B25" s="365">
        <f>B11</f>
        <v/>
      </c>
      <c r="C25" s="365">
        <f>IF(A25&lt;0,($F$6+A25)/$F$6,0)</f>
        <v/>
      </c>
      <c r="D25" s="365">
        <f>B25*C25</f>
        <v/>
      </c>
      <c r="E25" s="727">
        <f>IF(A25&lt;0,B25/$F$6,0)</f>
        <v/>
      </c>
      <c r="F25" s="366" t="n"/>
      <c r="G25" s="366" t="n"/>
      <c r="H25" s="366" t="n"/>
      <c r="I25" s="366" t="n"/>
      <c r="J25" s="367" t="n"/>
    </row>
    <row r="26" customFormat="1" s="96">
      <c r="A26" s="368">
        <f>A12</f>
        <v/>
      </c>
      <c r="B26" s="365">
        <f>B12</f>
        <v/>
      </c>
      <c r="C26" s="365">
        <f>IF(A26&lt;0,($F$6+A26)/$F$6,0)</f>
        <v/>
      </c>
      <c r="D26" s="365">
        <f>B26*C26</f>
        <v/>
      </c>
      <c r="E26" s="727">
        <f>IF(A26&lt;0,B26/$F$6,0)</f>
        <v/>
      </c>
      <c r="F26" s="366" t="n"/>
      <c r="G26" s="366" t="n"/>
      <c r="H26" s="366" t="n"/>
      <c r="I26" s="366" t="n"/>
      <c r="J26" s="367" t="n"/>
    </row>
    <row r="27" customFormat="1" s="96">
      <c r="A27" s="368">
        <f>A13</f>
        <v/>
      </c>
      <c r="B27" s="365">
        <f>B13</f>
        <v/>
      </c>
      <c r="C27" s="365">
        <f>IF(A27&lt;0,($F$6+A27)/$F$6,0)</f>
        <v/>
      </c>
      <c r="D27" s="365">
        <f>B27*C27</f>
        <v/>
      </c>
      <c r="E27" s="727">
        <f>IF(A27&lt;0,B27/$F$6,0)</f>
        <v/>
      </c>
      <c r="F27" s="366" t="n"/>
      <c r="G27" s="366" t="n"/>
      <c r="H27" s="366" t="n"/>
      <c r="I27" s="366" t="n"/>
      <c r="J27" s="367" t="n"/>
    </row>
    <row r="28" customFormat="1" s="96">
      <c r="A28" s="368">
        <f>A14</f>
        <v/>
      </c>
      <c r="B28" s="365">
        <f>B14</f>
        <v/>
      </c>
      <c r="C28" s="365">
        <f>IF(A28&lt;0,($F$6+A28)/$F$6,0)</f>
        <v/>
      </c>
      <c r="D28" s="365">
        <f>B28*C28</f>
        <v/>
      </c>
      <c r="E28" s="727">
        <f>IF(A28&lt;0,B28/$F$6,0)</f>
        <v/>
      </c>
      <c r="F28" s="366" t="n"/>
      <c r="G28" s="366" t="n"/>
      <c r="H28" s="366" t="n"/>
      <c r="I28" s="366" t="n"/>
      <c r="J28" s="367" t="n"/>
    </row>
    <row r="29" customFormat="1" s="96">
      <c r="A29" s="368">
        <f>A15</f>
        <v/>
      </c>
      <c r="B29" s="365">
        <f>B15</f>
        <v/>
      </c>
      <c r="C29" s="365">
        <f>IF(A29&lt;0,($F$6+A29)/$F$6,0)</f>
        <v/>
      </c>
      <c r="D29" s="365">
        <f>B29*C29</f>
        <v/>
      </c>
      <c r="E29" s="727">
        <f>IF(A29&lt;0,B29/$F$6,0)</f>
        <v/>
      </c>
      <c r="F29" s="366" t="n"/>
      <c r="G29" s="366" t="n"/>
      <c r="H29" s="366" t="n"/>
      <c r="I29" s="366" t="n"/>
      <c r="J29" s="367" t="n"/>
    </row>
    <row r="30" customFormat="1" s="96">
      <c r="A30" s="368">
        <f>A16</f>
        <v/>
      </c>
      <c r="B30" s="365">
        <f>B16</f>
        <v/>
      </c>
      <c r="C30" s="365">
        <f>IF(A30&lt;0,($F$6+A30)/$F$6,0)</f>
        <v/>
      </c>
      <c r="D30" s="365">
        <f>B30*C30</f>
        <v/>
      </c>
      <c r="E30" s="727">
        <f>IF(A30&lt;0,B30/$F$6,0)</f>
        <v/>
      </c>
      <c r="F30" s="366" t="n"/>
      <c r="G30" s="366" t="n"/>
      <c r="H30" s="366" t="n"/>
      <c r="I30" s="366" t="n"/>
      <c r="J30" s="367" t="n"/>
    </row>
    <row r="31" customFormat="1" s="96">
      <c r="A31" s="368">
        <f>A17</f>
        <v/>
      </c>
      <c r="B31" s="365">
        <f>B17</f>
        <v/>
      </c>
      <c r="C31" s="365">
        <f>IF(A31&lt;0,($F$6+A31)/$F$6,0)</f>
        <v/>
      </c>
      <c r="D31" s="365">
        <f>B31*C31</f>
        <v/>
      </c>
      <c r="E31" s="727">
        <f>IF(A31&lt;0,B31/$F$6,0)</f>
        <v/>
      </c>
      <c r="F31" s="366" t="n"/>
      <c r="G31" s="366" t="n"/>
      <c r="H31" s="366" t="n"/>
      <c r="I31" s="366" t="n"/>
      <c r="J31" s="367" t="n"/>
    </row>
    <row r="32" customFormat="1" s="96">
      <c r="A32" s="368">
        <f>A18</f>
        <v/>
      </c>
      <c r="B32" s="365">
        <f>B18</f>
        <v/>
      </c>
      <c r="C32" s="365">
        <f>IF(A32&lt;0,($F$6+A32)/$F$6,0)</f>
        <v/>
      </c>
      <c r="D32" s="365">
        <f>B32*C32</f>
        <v/>
      </c>
      <c r="E32" s="727">
        <f>IF(A32&lt;0,B32/$F$6,0)</f>
        <v/>
      </c>
      <c r="F32" s="366" t="n"/>
      <c r="G32" s="366" t="n"/>
      <c r="H32" s="366" t="n"/>
      <c r="I32" s="366" t="n"/>
      <c r="J32" s="367" t="n"/>
    </row>
    <row r="33" customFormat="1" s="96">
      <c r="A33" s="368">
        <f>A19</f>
        <v/>
      </c>
      <c r="B33" s="365">
        <f>B19</f>
        <v/>
      </c>
      <c r="C33" s="365">
        <f>IF(A33&lt;0,($F$6+A33)/$F$6,0)</f>
        <v/>
      </c>
      <c r="D33" s="365">
        <f>B33*C33</f>
        <v/>
      </c>
      <c r="E33" s="727">
        <f>IF(A33&lt;0,B33/$F$6,0)</f>
        <v/>
      </c>
      <c r="F33" s="366" t="n"/>
      <c r="G33" s="366" t="n"/>
      <c r="H33" s="366" t="n"/>
      <c r="I33" s="366" t="n"/>
      <c r="J33" s="367" t="n"/>
    </row>
    <row r="34" ht="15.95" customFormat="1" customHeight="1" s="96" thickBot="1">
      <c r="A34" s="368">
        <f>A20</f>
        <v/>
      </c>
      <c r="B34" s="365">
        <f>B20</f>
        <v/>
      </c>
      <c r="C34" s="365">
        <f>IF(A34&lt;0,($F$6+A34)/$F$6,0)</f>
        <v/>
      </c>
      <c r="D34" s="374">
        <f>B34*C34</f>
        <v/>
      </c>
      <c r="E34" s="728">
        <f>IF(A34&lt;0,B34/$F$6,0)</f>
        <v/>
      </c>
      <c r="F34" s="366" t="n"/>
      <c r="G34" s="366" t="n"/>
      <c r="H34" s="366" t="n"/>
      <c r="I34" s="366" t="n"/>
      <c r="J34" s="367" t="n"/>
    </row>
    <row r="35" ht="14.1" customFormat="1" customHeight="1" s="6" thickBot="1">
      <c r="A35" s="337" t="inlineStr">
        <is>
          <t>Value of Research Asset =</t>
        </is>
      </c>
      <c r="B35" s="337" t="n"/>
      <c r="C35" s="337" t="n"/>
      <c r="D35" s="729">
        <f>SUM(D24:D34)</f>
        <v/>
      </c>
      <c r="E35" s="729">
        <f>SUM(E25:E34)</f>
        <v/>
      </c>
      <c r="F35" s="337" t="n"/>
      <c r="G35" s="337" t="n"/>
      <c r="H35" s="337" t="n"/>
      <c r="I35" s="337" t="n"/>
      <c r="J35" s="337" t="n"/>
    </row>
    <row r="36" ht="14.1" customHeight="1" thickBot="1">
      <c r="D36" s="730" t="n"/>
      <c r="E36" s="730" t="n"/>
    </row>
    <row r="37" ht="14.1" customFormat="1" customHeight="1" s="6" thickBot="1">
      <c r="A37" s="337" t="inlineStr">
        <is>
          <t>Amortization of asset for current year =</t>
        </is>
      </c>
      <c r="B37" s="337" t="n"/>
      <c r="C37" s="337" t="n"/>
      <c r="D37" s="729">
        <f>E35</f>
        <v/>
      </c>
      <c r="E37" s="731"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2">
        <f>F7-D37</f>
        <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3">
        <f>D39*'Input sheet'!B24</f>
        <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4"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30" t="n"/>
      <c r="J3" s="630" t="n"/>
      <c r="K3" s="630" t="n"/>
      <c r="L3" s="631" t="n"/>
    </row>
    <row r="4" customFormat="1" s="6">
      <c r="A4" s="6" t="inlineStr">
        <is>
          <t>Operating lease expense in current year =</t>
        </is>
      </c>
      <c r="E4" s="735" t="n">
        <v>295</v>
      </c>
      <c r="H4" s="681" t="n"/>
      <c r="L4" s="634" t="n"/>
    </row>
    <row r="5" customFormat="1" s="9">
      <c r="A5" s="9" t="inlineStr">
        <is>
          <t>Operating Lease Commitments (From footnote to financials)</t>
        </is>
      </c>
      <c r="H5" s="681" t="n"/>
      <c r="L5" s="634" t="n"/>
    </row>
    <row r="6" customFormat="1" s="6">
      <c r="A6" s="16" t="inlineStr">
        <is>
          <t>Year</t>
        </is>
      </c>
      <c r="B6" s="16" t="inlineStr">
        <is>
          <t>Commitment</t>
        </is>
      </c>
      <c r="C6" s="6" t="inlineStr">
        <is>
          <t>! Year 1 is next year, ….</t>
        </is>
      </c>
      <c r="H6" s="681" t="n"/>
      <c r="L6" s="634" t="n"/>
    </row>
    <row r="7" customFormat="1" s="6">
      <c r="A7" s="16" t="n">
        <v>1</v>
      </c>
      <c r="B7" s="736" t="n">
        <v>287</v>
      </c>
      <c r="H7" s="681" t="n"/>
      <c r="L7" s="634" t="n"/>
    </row>
    <row r="8" customFormat="1" s="6">
      <c r="A8" s="16" t="n">
        <v>2</v>
      </c>
      <c r="B8" s="736" t="n">
        <v>235</v>
      </c>
      <c r="H8" s="681" t="n"/>
      <c r="L8" s="634" t="n"/>
    </row>
    <row r="9" customFormat="1" s="6">
      <c r="A9" s="16" t="n">
        <v>3</v>
      </c>
      <c r="B9" s="736" t="n">
        <v>194</v>
      </c>
      <c r="H9" s="681" t="n"/>
      <c r="L9" s="634" t="n"/>
    </row>
    <row r="10" customFormat="1" s="6">
      <c r="A10" s="16" t="n">
        <v>4</v>
      </c>
      <c r="B10" s="736" t="n">
        <v>151</v>
      </c>
      <c r="H10" s="681" t="n"/>
      <c r="L10" s="634" t="n"/>
    </row>
    <row r="11" ht="14.1" customFormat="1" customHeight="1" s="6" thickBot="1">
      <c r="A11" s="16" t="n">
        <v>5</v>
      </c>
      <c r="B11" s="736" t="n">
        <v>98</v>
      </c>
      <c r="H11" s="720" t="n"/>
      <c r="I11" s="721" t="n"/>
      <c r="J11" s="721" t="n"/>
      <c r="K11" s="721" t="n"/>
      <c r="L11" s="722"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7"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38">
        <f>B7</f>
        <v/>
      </c>
      <c r="C22" s="739">
        <f>B22/(1+$C$15)^A22</f>
        <v/>
      </c>
    </row>
    <row r="23" customFormat="1" s="6">
      <c r="A23" s="12">
        <f>A8</f>
        <v/>
      </c>
      <c r="B23" s="738">
        <f>B8</f>
        <v/>
      </c>
      <c r="C23" s="739">
        <f>B23/(1+$C$15)^A23</f>
        <v/>
      </c>
    </row>
    <row r="24" customFormat="1" s="6">
      <c r="A24" s="12">
        <f>A9</f>
        <v/>
      </c>
      <c r="B24" s="738">
        <f>B9</f>
        <v/>
      </c>
      <c r="C24" s="739">
        <f>B24/(1+$C$15)^A24</f>
        <v/>
      </c>
    </row>
    <row r="25" customFormat="1" s="6">
      <c r="A25" s="12">
        <f>A10</f>
        <v/>
      </c>
      <c r="B25" s="738">
        <f>B10</f>
        <v/>
      </c>
      <c r="C25" s="739">
        <f>B25/(1+$C$15)^A25</f>
        <v/>
      </c>
    </row>
    <row r="26" customFormat="1" s="6">
      <c r="A26" s="12">
        <f>A11</f>
        <v/>
      </c>
      <c r="B26" s="738">
        <f>B11</f>
        <v/>
      </c>
      <c r="C26" s="739">
        <f>B26/(1+$C$15)^A26</f>
        <v/>
      </c>
    </row>
    <row r="27" ht="14.1" customFormat="1" customHeight="1" s="6" thickBot="1">
      <c r="A27" s="22">
        <f>A12</f>
        <v/>
      </c>
      <c r="B27" s="740">
        <f>IF(B12&gt;0,IF(D18&gt;0,B12/D18,B12),0)</f>
        <v/>
      </c>
      <c r="C27" s="741">
        <f>IF(D18&gt;0,(B27*(1-(1+C15)^(-D18))/C15)/(1+$C$15)^5,B27/(1+C15)^6)</f>
        <v/>
      </c>
      <c r="D27" s="6" t="inlineStr">
        <is>
          <t>! Commitment beyond year 6 converted into an annuity for ten years</t>
        </is>
      </c>
    </row>
    <row r="28" ht="14.1" customFormat="1" customHeight="1" s="6" thickBot="1">
      <c r="A28" s="18" t="inlineStr">
        <is>
          <t>Debt Value of leases =</t>
        </is>
      </c>
      <c r="B28" s="25" t="n"/>
      <c r="C28" s="742">
        <f>SUM(C22:C27)</f>
        <v/>
      </c>
    </row>
    <row r="29" customFormat="1" s="6"/>
    <row r="30" customFormat="1" s="6">
      <c r="A30" s="9" t="inlineStr">
        <is>
          <t>Restated Financials</t>
        </is>
      </c>
    </row>
    <row r="31" ht="14.1" customFormat="1" customHeight="1" s="6" thickBot="1">
      <c r="A31" s="6" t="inlineStr">
        <is>
          <t>Depreciation on Operating Lease Asset =</t>
        </is>
      </c>
      <c r="F31" s="741">
        <f>C28/(5+D18)</f>
        <v/>
      </c>
      <c r="G31" s="6" t="inlineStr">
        <is>
          <t>! I use straight line depreciation</t>
        </is>
      </c>
    </row>
    <row r="32" ht="14.1" customFormat="1" customHeight="1" s="6" thickBot="1">
      <c r="A32" s="6" t="inlineStr">
        <is>
          <t>Adjustment to Operating Earnings =</t>
        </is>
      </c>
      <c r="F32" s="39">
        <f>E4-F31</f>
        <v/>
      </c>
      <c r="G32" s="6" t="inlineStr">
        <is>
          <t>! Add this amount to pre-tax operating income</t>
        </is>
      </c>
    </row>
    <row r="33" ht="14.1" customFormat="1" customHeight="1" s="6" thickBot="1">
      <c r="A33" s="6" t="inlineStr">
        <is>
          <t>Adjustment to Total Debt outstanding =</t>
        </is>
      </c>
      <c r="F33" s="743">
        <f>C28</f>
        <v/>
      </c>
      <c r="G33" s="6" t="inlineStr">
        <is>
          <t>! Add this amount to debt</t>
        </is>
      </c>
    </row>
    <row r="34" ht="14.1" customHeight="1">
      <c r="A34" s="6" t="inlineStr">
        <is>
          <t>Adjustment to Depreciation =</t>
        </is>
      </c>
      <c r="F34" s="744">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opLeftCell="A9" workbookViewId="0">
      <selection activeCell="B71" sqref="B71"/>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8.140625" bestFit="1" customWidth="1" min="11" max="11"/>
    <col width="17.42578125" customWidth="1" min="12" max="12"/>
  </cols>
  <sheetData>
    <row r="1">
      <c r="A1" s="575"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6" t="n"/>
      <c r="C1" s="656" t="n"/>
      <c r="D1" s="656" t="n"/>
      <c r="E1" s="656" t="n"/>
      <c r="F1" s="656" t="n"/>
      <c r="G1" s="656" t="n"/>
      <c r="H1" s="656" t="n"/>
      <c r="I1" s="656" t="n"/>
      <c r="J1" s="656" t="n"/>
      <c r="K1" s="657" t="n"/>
    </row>
    <row r="2">
      <c r="A2" s="661" t="n"/>
      <c r="B2" s="662" t="n"/>
      <c r="C2" s="662" t="n"/>
      <c r="D2" s="662" t="n"/>
      <c r="E2" s="662" t="n"/>
      <c r="F2" s="662" t="n"/>
      <c r="G2" s="662" t="n"/>
      <c r="H2" s="662" t="n"/>
      <c r="I2" s="662" t="n"/>
      <c r="J2" s="662" t="n"/>
      <c r="K2" s="663" t="n"/>
    </row>
    <row r="3" ht="18.95" customFormat="1" customHeight="1" s="59" thickBot="1">
      <c r="A3" s="576" t="inlineStr">
        <is>
          <t>Estimation of Current Cost of Capital</t>
        </is>
      </c>
      <c r="B3" s="656" t="n"/>
      <c r="C3" s="656" t="n"/>
      <c r="D3" s="656" t="n"/>
      <c r="E3" s="656" t="n"/>
      <c r="G3" s="72" t="inlineStr">
        <is>
          <t>Operating Countries ERP calculator</t>
        </is>
      </c>
    </row>
    <row r="4" ht="15" customFormat="1" customHeight="1" s="8">
      <c r="A4" s="745"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30" t="n"/>
      <c r="C4" s="630" t="n"/>
      <c r="D4" s="630" t="n"/>
      <c r="E4" s="631" t="n"/>
      <c r="F4" s="59" t="n"/>
      <c r="G4" s="83" t="inlineStr">
        <is>
          <t>Country</t>
        </is>
      </c>
      <c r="H4" s="83" t="inlineStr">
        <is>
          <t>Revenues</t>
        </is>
      </c>
      <c r="I4" s="83" t="inlineStr">
        <is>
          <t>ERP</t>
        </is>
      </c>
      <c r="J4" s="83" t="inlineStr">
        <is>
          <t>Weight</t>
        </is>
      </c>
      <c r="K4" s="83" t="inlineStr">
        <is>
          <t>Weighted ERP</t>
        </is>
      </c>
    </row>
    <row r="5" ht="15" customFormat="1" customHeight="1" s="6">
      <c r="A5" s="681" t="n"/>
      <c r="E5" s="634" t="n"/>
      <c r="F5" s="59" t="n"/>
      <c r="G5" s="81" t="inlineStr">
        <is>
          <t>United States</t>
        </is>
      </c>
      <c r="H5" s="81" t="n">
        <v>193636</v>
      </c>
      <c r="I5" s="66">
        <f>IF(H5=0,0,VLOOKUP(G5,'Country equity risk premiums'!$A$5:$D$195,4))</f>
        <v/>
      </c>
      <c r="J5" s="66">
        <f>IF(H5&gt;0,H5/$H$18,)</f>
        <v/>
      </c>
      <c r="K5" s="66">
        <f>IF(J5=0,0,I5*J5)</f>
        <v/>
      </c>
      <c r="M5" s="574"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1" t="n"/>
      <c r="E6" s="634" t="n"/>
      <c r="F6" s="59" t="n"/>
      <c r="G6" s="81" t="inlineStr">
        <is>
          <t>Germany</t>
        </is>
      </c>
      <c r="H6" s="81" t="n">
        <v>22232</v>
      </c>
      <c r="I6" s="66">
        <f>IF(H6=0,0,VLOOKUP(G6,'Country equity risk premiums'!$A$5:$D$195,4))</f>
        <v/>
      </c>
      <c r="J6" s="66">
        <f>IF(H6&gt;0,H6/$H$18,)</f>
        <v/>
      </c>
      <c r="K6" s="66">
        <f>IF(J6=0,0,I6*J6)</f>
        <v/>
      </c>
    </row>
    <row r="7" ht="15" customFormat="1" customHeight="1" s="6">
      <c r="A7" s="681" t="n"/>
      <c r="E7" s="634" t="n"/>
      <c r="F7" s="59" t="n"/>
      <c r="G7" s="81" t="inlineStr">
        <is>
          <t>Australia</t>
        </is>
      </c>
      <c r="H7" s="81" t="n">
        <v>17527</v>
      </c>
      <c r="I7" s="66">
        <f>IF(H7=0,0,VLOOKUP(G7,'Country equity risk premiums'!$A$5:$D$195,4))</f>
        <v/>
      </c>
      <c r="J7" s="66">
        <f>IF(H7&gt;0,H7/$H$18,)</f>
        <v/>
      </c>
      <c r="K7" s="66">
        <f>IF(J7=0,0,I7*J7)</f>
        <v/>
      </c>
    </row>
    <row r="8" ht="15" customFormat="1" customHeight="1" s="6">
      <c r="A8" s="681" t="n"/>
      <c r="E8" s="634" t="n"/>
      <c r="F8" s="59" t="n"/>
      <c r="G8" s="81" t="inlineStr">
        <is>
          <t>Brazil</t>
        </is>
      </c>
      <c r="H8" s="81" t="n">
        <v>16002</v>
      </c>
      <c r="I8" s="66">
        <f>IF(H8=0,0,VLOOKUP(G8,'Country equity risk premiums'!$A$5:$D$195,4))</f>
        <v/>
      </c>
      <c r="J8" s="66">
        <f>IF(H8&gt;0,H8/$H$18,)</f>
        <v/>
      </c>
      <c r="K8" s="66">
        <f>IF(J8=0,0,I8*J8)</f>
        <v/>
      </c>
    </row>
    <row r="9" ht="15" customFormat="1" customHeight="1" s="6" thickBot="1">
      <c r="A9" s="720" t="n"/>
      <c r="B9" s="721" t="n"/>
      <c r="C9" s="721" t="n"/>
      <c r="D9" s="721" t="n"/>
      <c r="E9" s="722" t="n"/>
      <c r="F9" s="59" t="n"/>
      <c r="G9" s="81" t="n"/>
      <c r="H9" s="81" t="n"/>
      <c r="I9" s="66">
        <f>IF(H9=0,0,VLOOKUP(G9,'Country equity risk premiums'!$A$5:$D$195,4))</f>
        <v/>
      </c>
      <c r="J9" s="66">
        <f>IF(H9&gt;0,H9/$H$18,)</f>
        <v/>
      </c>
      <c r="K9" s="66">
        <f>IF(J9=0,0,I9*J9)</f>
        <v/>
      </c>
    </row>
    <row r="10" ht="15" customFormat="1" customHeight="1" s="6">
      <c r="A10" s="193" t="n"/>
      <c r="B10" s="193" t="n"/>
      <c r="C10" s="193" t="n"/>
      <c r="D10" s="193" t="n"/>
      <c r="E10" s="193" t="n"/>
      <c r="F10" s="59" t="n"/>
      <c r="G10" s="81" t="n"/>
      <c r="H10" s="81" t="n"/>
      <c r="I10" s="66">
        <f>IF(H10=0,0,VLOOKUP(G10,'Country equity risk premiums'!$A$5:$D$195,4))</f>
        <v/>
      </c>
      <c r="J10" s="66">
        <f>IF(H10&gt;0,H10/$H$18,)</f>
        <v/>
      </c>
      <c r="K10" s="66">
        <f>IF(J10=0,0,I10*J10)</f>
        <v/>
      </c>
    </row>
    <row r="11" ht="15" customFormat="1" customHeight="1" s="6">
      <c r="A11" s="193" t="inlineStr">
        <is>
          <t>Which approach will you be using?</t>
        </is>
      </c>
      <c r="B11" s="194" t="inlineStr">
        <is>
          <t>Distribution</t>
        </is>
      </c>
      <c r="C11" s="193" t="n"/>
      <c r="D11" s="193" t="n"/>
      <c r="E11" s="193" t="n"/>
      <c r="F11" s="59" t="n"/>
      <c r="G11" s="81" t="n"/>
      <c r="H11" s="81" t="n"/>
      <c r="I11" s="66">
        <f>IF(H11=0,0,VLOOKUP(G11,'Country equity risk premiums'!$A$5:$D$195,4))</f>
        <v/>
      </c>
      <c r="J11" s="66">
        <f>IF(H11&gt;0,H11/$H$18,)</f>
        <v/>
      </c>
      <c r="K11" s="66">
        <f>IF(J11=0,0,I11*J11)</f>
        <v/>
      </c>
    </row>
    <row r="12" ht="15" customFormat="1" customHeight="1" s="6">
      <c r="A12" s="193" t="inlineStr">
        <is>
          <t>If direct input, enter cost of capital to use</t>
        </is>
      </c>
      <c r="B12" s="195" t="n">
        <v>0.09</v>
      </c>
      <c r="C12" s="193" t="n"/>
      <c r="D12" s="193" t="n"/>
      <c r="E12" s="193" t="n"/>
      <c r="F12" s="59" t="n"/>
      <c r="G12" s="81" t="n"/>
      <c r="H12" s="81" t="n"/>
      <c r="I12" s="66">
        <f>IF(H12=0,0,VLOOKUP(G12,'Country equity risk premiums'!$A$5:$D$195,4))</f>
        <v/>
      </c>
      <c r="J12" s="66">
        <f>IF(H12&gt;0,H12/$H$18,)</f>
        <v/>
      </c>
      <c r="K12" s="66">
        <f>IF(J12=0,0,I12*J12)</f>
        <v/>
      </c>
    </row>
    <row r="13" ht="15" customFormat="1" customHeight="1" s="6">
      <c r="A13" s="193" t="inlineStr">
        <is>
          <t>Cost of capital based upon approach =</t>
        </is>
      </c>
      <c r="B13" s="196">
        <f>IF(B11="I will input",B12,IF(B11="Detailed",E62,IF(B11="Industry Average",B67,B72)))</f>
        <v/>
      </c>
      <c r="C13" s="193" t="n"/>
      <c r="D13" s="193" t="n"/>
      <c r="E13" s="193" t="n"/>
      <c r="F13" s="59" t="n"/>
      <c r="G13" s="81" t="n"/>
      <c r="H13" s="81" t="n"/>
      <c r="I13" s="66">
        <f>IF(H13=0,0,VLOOKUP(G13,'Country equity risk premiums'!$A$5:$D$195,4))</f>
        <v/>
      </c>
      <c r="J13" s="66">
        <f>IF(H13&gt;0,H13/$H$18,)</f>
        <v/>
      </c>
      <c r="K13" s="66">
        <f>IF(J13=0,0,I13*J13)</f>
        <v/>
      </c>
    </row>
    <row r="14" ht="15" customFormat="1" customHeight="1" s="6" thickBot="1">
      <c r="A14" s="193" t="n"/>
      <c r="B14" s="193" t="n"/>
      <c r="C14" s="193" t="n"/>
      <c r="D14" s="193" t="n"/>
      <c r="E14" s="193" t="n"/>
      <c r="F14" s="59" t="n"/>
      <c r="G14" s="81" t="n"/>
      <c r="H14" s="81" t="n"/>
      <c r="I14" s="66">
        <f>IF(H14=0,0,VLOOKUP(G14,'Country equity risk premiums'!$A$5:$D$195,4))</f>
        <v/>
      </c>
      <c r="J14" s="66">
        <f>IF(H14&gt;0,H14/$H$18,)</f>
        <v/>
      </c>
      <c r="K14" s="66">
        <f>IF(J14=0,0,I14*J14)</f>
        <v/>
      </c>
    </row>
    <row r="15" ht="15" customFormat="1" customHeight="1" s="6" thickBot="1">
      <c r="A15" s="746" t="inlineStr">
        <is>
          <t>Approach 1: Detailed Cost of Capital</t>
        </is>
      </c>
      <c r="B15" s="620" t="n"/>
      <c r="C15" s="620" t="n"/>
      <c r="D15" s="620" t="n"/>
      <c r="E15" s="620" t="n"/>
      <c r="F15" s="621" t="n"/>
      <c r="G15" s="81" t="n"/>
      <c r="H15" s="81" t="n"/>
      <c r="I15" s="66">
        <f>IF(H15=0,0,VLOOKUP(G15,'Country equity risk premiums'!$A$5:$D$195,4))</f>
        <v/>
      </c>
      <c r="J15" s="66">
        <f>IF(H15&gt;0,H15/$H$18,)</f>
        <v/>
      </c>
      <c r="K15" s="66">
        <f>IF(J15=0,0,I15*J15)</f>
        <v/>
      </c>
    </row>
    <row r="16" ht="15" customFormat="1" customHeight="1" s="6">
      <c r="A16" s="8" t="inlineStr">
        <is>
          <t>Inputs</t>
        </is>
      </c>
      <c r="B16" s="184" t="n"/>
      <c r="C16" s="108" t="n"/>
      <c r="D16" s="8" t="n"/>
      <c r="E16" s="8" t="n"/>
      <c r="F16" s="8" t="n"/>
      <c r="G16" s="141" t="inlineStr">
        <is>
          <t>Rest of the World</t>
        </is>
      </c>
      <c r="H16" s="81" t="n">
        <v>31335</v>
      </c>
      <c r="I16" s="147" t="n">
        <v>0.0713</v>
      </c>
      <c r="J16" s="66">
        <f>IF(H16&gt;0,H16/$H$18,)</f>
        <v/>
      </c>
      <c r="K16" s="66">
        <f>IF(J16=0,0,I16*J16)</f>
        <v/>
      </c>
    </row>
    <row r="17" ht="15" customFormat="1" customHeight="1" s="6">
      <c r="A17" s="11" t="inlineStr">
        <is>
          <t>Equity</t>
        </is>
      </c>
      <c r="B17" s="185"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7">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748">
        <f>I21*J21</f>
        <v/>
      </c>
    </row>
    <row r="22" ht="15" customFormat="1" customHeight="1" s="6">
      <c r="A22" s="6" t="inlineStr">
        <is>
          <t>If direct input, enter levered beta (or regression beta)</t>
        </is>
      </c>
      <c r="B22" s="109" t="n">
        <v>1.2</v>
      </c>
      <c r="G22" s="12">
        <f>'Country equity risk premiums'!A202</f>
        <v/>
      </c>
      <c r="H22" s="81" t="n">
        <v>51514</v>
      </c>
      <c r="I22" s="13">
        <f>'Country equity risk premiums'!B202</f>
        <v/>
      </c>
      <c r="J22" s="66">
        <f>H22/$H$32</f>
        <v/>
      </c>
      <c r="K22" s="748">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48">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48">
        <f>I24*J24</f>
        <v/>
      </c>
    </row>
    <row r="25" ht="15" customFormat="1" customHeight="1" s="6">
      <c r="A25" s="6" t="inlineStr">
        <is>
          <t>What approach do you want to use to input ERP?</t>
        </is>
      </c>
      <c r="B25" s="104" t="inlineStr">
        <is>
          <t>Operating regions</t>
        </is>
      </c>
      <c r="G25" s="12">
        <f>'Country equity risk premiums'!A205</f>
        <v/>
      </c>
      <c r="H25" s="81" t="n">
        <v>18320</v>
      </c>
      <c r="I25" s="13">
        <f>'Country equity risk premiums'!B205</f>
        <v/>
      </c>
      <c r="J25" s="66">
        <f>H25/$H$32</f>
        <v/>
      </c>
      <c r="K25" s="748">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48">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48">
        <f>I27*J27</f>
        <v/>
      </c>
    </row>
    <row r="28" ht="15" customFormat="1" customHeight="1" s="6">
      <c r="G28" s="12">
        <f>'Country equity risk premiums'!A208</f>
        <v/>
      </c>
      <c r="H28" s="81" t="n">
        <v>146296</v>
      </c>
      <c r="I28" s="13">
        <f>'Country equity risk premiums'!B208</f>
        <v/>
      </c>
      <c r="J28" s="66">
        <f>H28/$H$32</f>
        <v/>
      </c>
      <c r="K28" s="748">
        <f>I28*J28</f>
        <v/>
      </c>
    </row>
    <row r="29" ht="15" customFormat="1" customHeight="1" s="6">
      <c r="A29" s="11" t="inlineStr">
        <is>
          <t>Debt</t>
        </is>
      </c>
      <c r="G29" s="12">
        <f>'Country equity risk premiums'!A209</f>
        <v/>
      </c>
      <c r="H29" s="81" t="n">
        <v>91038</v>
      </c>
      <c r="I29" s="13">
        <f>'Country equity risk premiums'!B209</f>
        <v/>
      </c>
      <c r="J29" s="66">
        <f>H29/$H$32</f>
        <v/>
      </c>
      <c r="K29" s="748">
        <f>I29*J29</f>
        <v/>
      </c>
    </row>
    <row r="30" ht="15" customFormat="1" customHeight="1" s="6">
      <c r="A30" s="6" t="inlineStr">
        <is>
          <t>Book Value of Straight Debt =</t>
        </is>
      </c>
      <c r="B30" s="747">
        <f>'Input sheet'!B15</f>
        <v/>
      </c>
      <c r="G30" s="81" t="n"/>
      <c r="H30" s="81" t="n"/>
      <c r="I30" s="142" t="n"/>
      <c r="J30" s="66">
        <f>H30/$H$32</f>
        <v/>
      </c>
      <c r="K30" s="748">
        <f>I30*J30</f>
        <v/>
      </c>
    </row>
    <row r="31" ht="15" customFormat="1" customHeight="1" s="6">
      <c r="A31" s="6" t="inlineStr">
        <is>
          <t>Interest Expense on Debt =</t>
        </is>
      </c>
      <c r="B31" s="747">
        <f>'Input sheet'!B13</f>
        <v/>
      </c>
      <c r="G31" s="81" t="n"/>
      <c r="H31" s="81" t="n"/>
      <c r="I31" s="142" t="n"/>
      <c r="J31" s="66">
        <f>H31/$H$32</f>
        <v/>
      </c>
      <c r="K31" s="748">
        <f>I31*J31</f>
        <v/>
      </c>
    </row>
    <row r="32" ht="15" customFormat="1" customHeight="1" s="6">
      <c r="A32" s="6" t="inlineStr">
        <is>
          <t>Average Maturity =</t>
        </is>
      </c>
      <c r="B32" s="60" t="n">
        <v>3</v>
      </c>
      <c r="G32" s="82" t="inlineStr">
        <is>
          <t>Total</t>
        </is>
      </c>
      <c r="H32" s="82">
        <f>SUM(H21:H31)</f>
        <v/>
      </c>
      <c r="I32" s="68" t="n"/>
      <c r="J32" s="66">
        <f>SUM(J21:J31)</f>
        <v/>
      </c>
      <c r="K32" s="749">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50" t="n">
        <v>0.04</v>
      </c>
      <c r="G34" s="59" t="inlineStr">
        <is>
          <t>Multi Business (US Industry Averages)</t>
        </is>
      </c>
    </row>
    <row r="35" ht="15" customFormat="1" customHeight="1" s="6">
      <c r="A35" s="6" t="inlineStr">
        <is>
          <t>If actual rating, input the rating</t>
        </is>
      </c>
      <c r="B35" s="75" t="inlineStr">
        <is>
          <t>Aa2/AA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Retail (General)</t>
        </is>
      </c>
      <c r="H36" s="751" t="n">
        <v>195010</v>
      </c>
      <c r="I36" s="752">
        <f>IF(G36=0,,VLOOKUP(G36,'Industry Averages(US)'!$A$2:$S$95,15))</f>
        <v/>
      </c>
      <c r="J36" s="753">
        <f>H36*I36</f>
        <v/>
      </c>
      <c r="K36" s="754">
        <f>IF(I36=0,0,VLOOKUP(G36,'Industry Averages(US)'!$A$2:$S$95,7))</f>
        <v/>
      </c>
      <c r="L36" s="189">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Entertainment</t>
        </is>
      </c>
      <c r="H37" s="751" t="n">
        <v>19210</v>
      </c>
      <c r="I37" s="752">
        <f>IF(G37=0,,VLOOKUP(G37,'Industry Averages(US)'!$A$2:$S$95,15))</f>
        <v/>
      </c>
      <c r="J37" s="753">
        <f>H37*I37</f>
        <v/>
      </c>
      <c r="K37" s="754">
        <f>IF(I37=0,0,VLOOKUP(G37,'Industry Averages(US)'!$A$2:$S$95,7))</f>
        <v/>
      </c>
      <c r="L37" s="189">
        <f>IF(I37=0,0,VLOOKUP(G37,'Industry Averages(US)'!$A$2:$S$95,13))</f>
        <v/>
      </c>
    </row>
    <row r="38" ht="15" customFormat="1" customHeight="1" s="6">
      <c r="A38" s="6" t="inlineStr">
        <is>
          <t>Tax Rate =</t>
        </is>
      </c>
      <c r="B38" s="107">
        <f>'Input sheet'!B24</f>
        <v/>
      </c>
      <c r="G38" s="81" t="inlineStr">
        <is>
          <t>Computer Services</t>
        </is>
      </c>
      <c r="H38" s="751" t="n">
        <v>35026</v>
      </c>
      <c r="I38" s="752">
        <f>IF(G38=0,,VLOOKUP(G38,'Industry Averages(US)'!$A$2:$S$95,15))</f>
        <v/>
      </c>
      <c r="J38" s="753">
        <f>H38*I38</f>
        <v/>
      </c>
      <c r="K38" s="754">
        <f>IF(I38=0,0,VLOOKUP(G38,'Industry Averages(US)'!$A$2:$S$95,7))</f>
        <v/>
      </c>
      <c r="L38" s="189">
        <f>IF(I38=0,0,VLOOKUP(G38,'Industry Averages(US)'!$A$2:$S$95,13))</f>
        <v/>
      </c>
    </row>
    <row r="39" ht="15" customFormat="1" customHeight="1" s="6">
      <c r="G39" s="81" t="inlineStr">
        <is>
          <t>Advertising</t>
        </is>
      </c>
      <c r="H39" s="751" t="n">
        <v>14100</v>
      </c>
      <c r="I39" s="752">
        <f>IF(G39=0,,VLOOKUP(G39,'Industry Averages(US)'!$A$2:$S$95,15))</f>
        <v/>
      </c>
      <c r="J39" s="753">
        <f>H39*I39</f>
        <v/>
      </c>
      <c r="K39" s="754">
        <f>IF(I39=0,0,VLOOKUP(G39,'Industry Averages(US)'!$A$2:$S$95,7))</f>
        <v/>
      </c>
      <c r="L39" s="189">
        <f>IF(I39=0,0,VLOOKUP(G39,'Industry Averages(US)'!$A$2:$S$95,13))</f>
        <v/>
      </c>
    </row>
    <row r="40" ht="15" customFormat="1" customHeight="1" s="61">
      <c r="A40" s="6" t="inlineStr">
        <is>
          <t>Book Value of Convertible Debt =</t>
        </is>
      </c>
      <c r="B40" s="60" t="n">
        <v>0</v>
      </c>
      <c r="C40" s="6" t="n"/>
      <c r="D40" s="6" t="n"/>
      <c r="E40" s="6" t="n"/>
      <c r="F40" s="6" t="n"/>
      <c r="G40" s="81" t="n"/>
      <c r="H40" s="751" t="n"/>
      <c r="I40" s="752">
        <f>IF(G40=0,,VLOOKUP(G40,'Industry Averages(US)'!$A$2:$S$95,15))</f>
        <v/>
      </c>
      <c r="J40" s="753">
        <f>H40*I40</f>
        <v/>
      </c>
      <c r="K40" s="754">
        <f>IF(I40=0,0,VLOOKUP(G40,'Industry Averages(US)'!$A$2:$S$95,7))</f>
        <v/>
      </c>
      <c r="L40" s="189">
        <f>IF(I40=0,0,VLOOKUP(G40,'Industry Averages(US)'!$A$2:$S$95,13))</f>
        <v/>
      </c>
    </row>
    <row r="41" ht="15" customFormat="1" customHeight="1" s="6">
      <c r="A41" s="6" t="inlineStr">
        <is>
          <t>Interest Expense on Convertible =</t>
        </is>
      </c>
      <c r="B41" s="60" t="n">
        <v>0</v>
      </c>
      <c r="G41" s="81" t="n"/>
      <c r="H41" s="751" t="n"/>
      <c r="I41" s="752">
        <f>IF(G41=0,,VLOOKUP(G41,'Industry Averages(US)'!$A$2:$S$95,15))</f>
        <v/>
      </c>
      <c r="J41" s="753">
        <f>H41*I41</f>
        <v/>
      </c>
      <c r="K41" s="754">
        <f>IF(I41=0,0,VLOOKUP(G41,'Industry Averages(US)'!$A$2:$S$95,7))</f>
        <v/>
      </c>
      <c r="L41" s="189">
        <f>IF(I41=0,0,VLOOKUP(G41,'Industry Averages(US)'!$A$2:$S$95,13))</f>
        <v/>
      </c>
    </row>
    <row r="42" ht="15" customFormat="1" customHeight="1" s="6">
      <c r="A42" s="6" t="inlineStr">
        <is>
          <t>Maturity of Convertible Bond =</t>
        </is>
      </c>
      <c r="B42" s="60" t="n">
        <v>0</v>
      </c>
      <c r="G42" s="81" t="n"/>
      <c r="H42" s="751" t="n"/>
      <c r="I42" s="752">
        <f>IF(G42=0,,VLOOKUP(G42,'Industry Averages(US)'!$A$2:$S$95,15))</f>
        <v/>
      </c>
      <c r="J42" s="753">
        <f>H42*I42</f>
        <v/>
      </c>
      <c r="K42" s="754">
        <f>IF(I42=0,0,VLOOKUP(G42,'Industry Averages(US)'!$A$2:$S$95,7))</f>
        <v/>
      </c>
      <c r="L42" s="189">
        <f>IF(I42=0,0,VLOOKUP(G42,'Industry Averages(US)'!$A$2:$S$95,13))</f>
        <v/>
      </c>
    </row>
    <row r="43" ht="15" customFormat="1" customHeight="1" s="6">
      <c r="A43" s="6" t="inlineStr">
        <is>
          <t>Market Value of Convertible =</t>
        </is>
      </c>
      <c r="B43" s="60" t="n">
        <v>0</v>
      </c>
      <c r="G43" s="81" t="n"/>
      <c r="H43" s="751" t="n"/>
      <c r="I43" s="752">
        <f>IF(G43=0,,VLOOKUP(G43,'Industry Averages(US)'!$A$2:$S$95,15))</f>
        <v/>
      </c>
      <c r="J43" s="753">
        <f>H43*I43</f>
        <v/>
      </c>
      <c r="K43" s="754">
        <f>IF(I43=0,0,VLOOKUP(G43,'Industry Averages(US)'!$A$2:$S$95,7))</f>
        <v/>
      </c>
      <c r="L43" s="189">
        <f>IF(I43=0,0,VLOOKUP(G43,'Industry Averages(US)'!$A$2:$S$95,13))</f>
        <v/>
      </c>
    </row>
    <row r="44" ht="14.1" customHeight="1">
      <c r="A44" s="6" t="n"/>
      <c r="B44" s="6" t="n"/>
      <c r="C44" s="6" t="n"/>
      <c r="D44" s="6" t="n"/>
      <c r="E44" s="6" t="n"/>
      <c r="F44" s="6" t="n"/>
      <c r="G44" s="81" t="n"/>
      <c r="H44" s="751" t="n"/>
      <c r="I44" s="752">
        <f>IF(G44=0,,VLOOKUP(G44,'Industry Averages(US)'!$A$2:$S$95,15))</f>
        <v/>
      </c>
      <c r="J44" s="753">
        <f>H44*I44</f>
        <v/>
      </c>
      <c r="K44" s="754">
        <f>IF(I44=0,0,VLOOKUP(G44,'Industry Averages(US)'!$A$2:$S$95,7))</f>
        <v/>
      </c>
      <c r="L44" s="189">
        <f>IF(I44=0,0,VLOOKUP(G44,'Industry Averages(US)'!$A$2:$S$95,13))</f>
        <v/>
      </c>
      <c r="M44" s="573" t="inlineStr">
        <is>
          <t>The costt of capital  is in US dollars, using the riskfree rate at the start of the year. It will be adjusted for the difference in riskfree rates to make it more current and to change currencies.</t>
        </is>
      </c>
      <c r="N44" s="656" t="n"/>
      <c r="O44" s="657" t="n"/>
    </row>
    <row r="45" ht="14.1" customHeight="1">
      <c r="A45" s="6" t="inlineStr">
        <is>
          <t>Debt value of operating leases =</t>
        </is>
      </c>
      <c r="B45" s="747">
        <f>IF('Input sheet'!B17="Yes",'Operating lease converter'!F33,0)</f>
        <v/>
      </c>
      <c r="C45" s="6" t="n"/>
      <c r="D45" s="6" t="n"/>
      <c r="E45" s="6" t="n"/>
      <c r="F45" s="6" t="n"/>
      <c r="G45" s="81" t="n"/>
      <c r="H45" s="751" t="n"/>
      <c r="I45" s="752">
        <f>IF(G45=0,,VLOOKUP(G45,'Industry Averages(US)'!$A$2:$S$95,15))</f>
        <v/>
      </c>
      <c r="J45" s="753">
        <f>H45*I45</f>
        <v/>
      </c>
      <c r="K45" s="754">
        <f>IF(I45=0,0,VLOOKUP(G45,'Industry Averages(US)'!$A$2:$S$95,7))</f>
        <v/>
      </c>
      <c r="L45" s="189">
        <f>IF(I45=0,0,VLOOKUP(G45,'Industry Averages(US)'!$A$2:$S$95,13))</f>
        <v/>
      </c>
      <c r="M45" s="659" t="n"/>
      <c r="O45" s="660" t="n"/>
    </row>
    <row r="46" ht="14.1" customHeight="1">
      <c r="A46" s="6" t="n"/>
      <c r="B46" s="6" t="n"/>
      <c r="C46" s="6" t="n"/>
      <c r="D46" s="6" t="n"/>
      <c r="E46" s="6" t="n"/>
      <c r="F46" s="6" t="n"/>
      <c r="G46" s="81" t="n"/>
      <c r="H46" s="751" t="n"/>
      <c r="I46" s="752">
        <f>IF(G46=0,,VLOOKUP(G46,'Industry Averages(US)'!$A$2:$S$95,15))</f>
        <v/>
      </c>
      <c r="J46" s="753">
        <f>H46*I46</f>
        <v/>
      </c>
      <c r="K46" s="754">
        <f>IF(I46=0,0,VLOOKUP(G46,'Industry Averages(US)'!$A$2:$S$95,7))</f>
        <v/>
      </c>
      <c r="L46" s="189">
        <f>IF(I46=0,0,VLOOKUP(G46,'Industry Averages(US)'!$A$2:$S$95,13))</f>
        <v/>
      </c>
      <c r="M46" s="659" t="n"/>
      <c r="O46" s="660" t="n"/>
    </row>
    <row r="47" ht="14.1" customHeight="1">
      <c r="A47" s="11" t="inlineStr">
        <is>
          <t>Preferred Stock</t>
        </is>
      </c>
      <c r="B47" s="6" t="n"/>
      <c r="C47" s="6" t="n"/>
      <c r="D47" s="6" t="n"/>
      <c r="E47" s="6" t="n"/>
      <c r="F47" s="6" t="n"/>
      <c r="G47" s="81" t="n"/>
      <c r="H47" s="751" t="n"/>
      <c r="I47" s="752">
        <f>IF(G47=0,,VLOOKUP(G47,'Industry Averages(US)'!$A$2:$S$95,15))</f>
        <v/>
      </c>
      <c r="J47" s="753">
        <f>H47*I47</f>
        <v/>
      </c>
      <c r="K47" s="754">
        <f>IF(I47=0,0,VLOOKUP(G47,'Industry Averages(US)'!$A$2:$S$95,7))</f>
        <v/>
      </c>
      <c r="L47" s="189">
        <f>IF(I47=0,0,VLOOKUP(G47,'Industry Averages(US)'!$A$2:$S$95,13))</f>
        <v/>
      </c>
      <c r="M47" s="659" t="n"/>
      <c r="O47" s="660" t="n"/>
    </row>
    <row r="48" ht="14.1" customHeight="1">
      <c r="A48" s="6" t="inlineStr">
        <is>
          <t>Number of Preferred Shares =</t>
        </is>
      </c>
      <c r="B48" s="60" t="n">
        <v>0</v>
      </c>
      <c r="C48" s="6" t="n"/>
      <c r="D48" s="6" t="n"/>
      <c r="E48" s="6" t="n"/>
      <c r="F48" s="6" t="n"/>
      <c r="G48" s="90" t="inlineStr">
        <is>
          <t>Company</t>
        </is>
      </c>
      <c r="H48" s="755">
        <f>SUM(H36:H47)</f>
        <v/>
      </c>
      <c r="I48" s="756" t="n"/>
      <c r="J48" s="753">
        <f>SUM(J36:J47)</f>
        <v/>
      </c>
      <c r="K48" s="757">
        <f>K36*(J36/J48)+K37*J37/J48+K38*J38/J48+K39*J39/J48+K40*J40/J48+K41*J41/J48+K42*J42/J48+K43*J43/J48+K44*J44/J48+K45*J45/J48+K46*J46/J48+K47*J47/J48</f>
        <v/>
      </c>
      <c r="L48" s="190">
        <f>L36*(J36/J48)+L37*J37/J48+L38*J38/J48+L39*J39/J48+L40*J40/J48+L41*J41/J48+L42*J42/J48+L43*J43/J48+L44*J44/J48+L45*J45/J48+L46*J46/J48+L47*J47/J48</f>
        <v/>
      </c>
      <c r="M48" s="661" t="n"/>
      <c r="N48" s="662" t="n"/>
      <c r="O48" s="663"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Oil/Gas (Production and Exploration)</t>
        </is>
      </c>
      <c r="H52" s="751" t="n">
        <v>81363</v>
      </c>
      <c r="I52" s="752">
        <f>IF(G52=0,,VLOOKUP(G52,'Industry Average Beta (Global)'!$A$2:$O$95,15))</f>
        <v/>
      </c>
      <c r="J52" s="753">
        <f>H52*I52</f>
        <v/>
      </c>
      <c r="K52" s="752">
        <f>IF(G52=0,,VLOOKUP(G52,'Industry Average Beta (Global)'!$A$2:$O$95,7))</f>
        <v/>
      </c>
      <c r="L52" s="189">
        <f>IF(I52=0,0,VLOOKUP(G52,'Industry Average Beta (Global)'!$A$2:$M$95,13))</f>
        <v/>
      </c>
    </row>
    <row r="53" ht="14.1" customHeight="1">
      <c r="A53" s="12" t="inlineStr">
        <is>
          <t>Estimating Market Value of Straight Debt =</t>
        </is>
      </c>
      <c r="B53" s="12" t="n"/>
      <c r="C53" s="758">
        <f>B31*(1-(1+B37)^(-B32))/B37+B30/(1+B37)^B32</f>
        <v/>
      </c>
      <c r="D53" s="6" t="n"/>
      <c r="E53" s="6" t="n"/>
      <c r="F53" s="6" t="n"/>
      <c r="G53" s="81" t="inlineStr">
        <is>
          <t>Chemical (Basic)</t>
        </is>
      </c>
      <c r="H53" s="751" t="n">
        <v>14862</v>
      </c>
      <c r="I53" s="752">
        <f>IF(G53=0,,VLOOKUP(G53,'Industry Average Beta (Global)'!$A$2:$O$95,15))</f>
        <v/>
      </c>
      <c r="J53" s="753">
        <f>H53*I53</f>
        <v/>
      </c>
      <c r="K53" s="752">
        <f>IF(G53=0,,VLOOKUP(G53,'Industry Average Beta (Global)'!$A$2:$O$95,7))</f>
        <v/>
      </c>
      <c r="L53" s="189">
        <f>IF(I53=0,0,VLOOKUP(G53,'Industry Average Beta (Global)'!$A$2:$M$95,13))</f>
        <v/>
      </c>
    </row>
    <row r="54" ht="14.1" customHeight="1">
      <c r="A54" s="12" t="inlineStr">
        <is>
          <t>Estimated Value of Straight Debt in Convertible =</t>
        </is>
      </c>
      <c r="B54" s="12" t="n"/>
      <c r="C54" s="758">
        <f>B41*(1-(1+B37)^(-B42))/B37+B40/(1+B37)^B42</f>
        <v/>
      </c>
      <c r="D54" s="6" t="n"/>
      <c r="E54" s="6" t="n"/>
      <c r="F54" s="6" t="n"/>
      <c r="G54" s="81" t="inlineStr">
        <is>
          <t>Chemical (Specialty)</t>
        </is>
      </c>
      <c r="H54" s="751" t="n">
        <v>4608</v>
      </c>
      <c r="I54" s="752">
        <f>IF(G54=0,,VLOOKUP(G54,'Industry Average Beta (Global)'!$A$2:$O$95,15))</f>
        <v/>
      </c>
      <c r="J54" s="753">
        <f>H54*I54</f>
        <v/>
      </c>
      <c r="K54" s="752">
        <f>IF(G54=0,,VLOOKUP(G54,'Industry Average Beta (Global)'!$A$2:$O$95,7))</f>
        <v/>
      </c>
      <c r="L54" s="189">
        <f>IF(I54=0,0,VLOOKUP(G54,'Industry Average Beta (Global)'!$A$2:$M$95,13))</f>
        <v/>
      </c>
    </row>
    <row r="55" ht="14.1" customHeight="1">
      <c r="A55" s="12" t="inlineStr">
        <is>
          <t>Value of Debt in Operating leases =</t>
        </is>
      </c>
      <c r="B55" s="12" t="n"/>
      <c r="C55" s="758">
        <f>B45</f>
        <v/>
      </c>
      <c r="D55" s="6" t="n"/>
      <c r="E55" s="6" t="n"/>
      <c r="F55" s="6" t="n"/>
      <c r="G55" s="81" t="inlineStr">
        <is>
          <t>Electronics (General)</t>
        </is>
      </c>
      <c r="H55" s="751" t="n">
        <v>2010</v>
      </c>
      <c r="I55" s="752">
        <f>IF(G55=0,,VLOOKUP(G55,'Industry Average Beta (Global)'!$A$2:$O$95,15))</f>
        <v/>
      </c>
      <c r="J55" s="753">
        <f>H55*I55</f>
        <v/>
      </c>
      <c r="K55" s="752">
        <f>IF(G55=0,,VLOOKUP(G55,'Industry Average Beta (Global)'!$A$2:$O$95,7))</f>
        <v/>
      </c>
      <c r="L55" s="189">
        <f>IF(I55=0,0,VLOOKUP(G55,'Industry Average Beta (Global)'!$A$2:$M$95,13))</f>
        <v/>
      </c>
    </row>
    <row r="56" ht="14.1" customHeight="1">
      <c r="A56" s="12" t="inlineStr">
        <is>
          <t>Estimated Value of Equity in Convertible =</t>
        </is>
      </c>
      <c r="B56" s="12" t="n"/>
      <c r="C56" s="758">
        <f>B43-C54</f>
        <v/>
      </c>
      <c r="D56" s="6" t="n"/>
      <c r="E56" s="6" t="n"/>
      <c r="F56" s="6" t="n"/>
      <c r="G56" s="81" t="inlineStr">
        <is>
          <t>Metals &amp; Mining</t>
        </is>
      </c>
      <c r="H56" s="751" t="n">
        <v>59269</v>
      </c>
      <c r="I56" s="752">
        <f>IF(G56=0,,VLOOKUP(G56,'Industry Average Beta (Global)'!$A$2:$O$95,15))</f>
        <v/>
      </c>
      <c r="J56" s="753">
        <f>H56*I56</f>
        <v/>
      </c>
      <c r="K56" s="752">
        <f>IF(G56=0,,VLOOKUP(G56,'Industry Average Beta (Global)'!$A$2:$O$95,7))</f>
        <v/>
      </c>
      <c r="L56" s="189">
        <f>IF(I56=0,0,VLOOKUP(G56,'Industry Average Beta (Global)'!$A$2:$M$95,13))</f>
        <v/>
      </c>
    </row>
    <row r="57" ht="14.1" customHeight="1">
      <c r="A57" s="12" t="inlineStr">
        <is>
          <t>Levered Beta for equity =</t>
        </is>
      </c>
      <c r="B57" s="12" t="n"/>
      <c r="C57" s="71">
        <f>IF(B21="Direct Input",B22,B23*(1+(1-B38)*(C60/B60)))</f>
        <v/>
      </c>
      <c r="D57" s="6" t="n"/>
      <c r="E57" s="6" t="n"/>
      <c r="F57" s="6" t="n"/>
      <c r="G57" s="81" t="n"/>
      <c r="H57" s="751" t="n"/>
      <c r="I57" s="752">
        <f>IF(G57=0,,VLOOKUP(G57,'Industry Average Beta (Global)'!$A$2:$O$95,15))</f>
        <v/>
      </c>
      <c r="J57" s="753">
        <f>H57*I57</f>
        <v/>
      </c>
      <c r="K57" s="752">
        <f>IF(G57=0,,VLOOKUP(G57,'Industry Average Beta (Global)'!$A$2:$O$95,7))</f>
        <v/>
      </c>
      <c r="L57" s="189">
        <f>IF(I57=0,0,VLOOKUP(G57,'Industry Average Beta (Global)'!$A$2:$M$95,13))</f>
        <v/>
      </c>
    </row>
    <row r="58" ht="14.1" customHeight="1">
      <c r="A58" s="6" t="n"/>
      <c r="B58" s="6" t="n"/>
      <c r="C58" s="71" t="n"/>
      <c r="D58" s="6" t="n"/>
      <c r="E58" s="6" t="n"/>
      <c r="F58" s="6" t="n"/>
      <c r="G58" s="81" t="n"/>
      <c r="H58" s="751" t="n"/>
      <c r="I58" s="752">
        <f>IF(G58=0,,VLOOKUP(G58,'Industry Average Beta (Global)'!$A$2:$O$95,15))</f>
        <v/>
      </c>
      <c r="J58" s="753">
        <f>H58*I58</f>
        <v/>
      </c>
      <c r="K58" s="752">
        <f>IF(G58=0,,VLOOKUP(G58,'Industry Average Beta (Global)'!$A$2:$O$95,7))</f>
        <v/>
      </c>
      <c r="L58" s="189">
        <f>IF(I58=0,0,VLOOKUP(G58,'Industry Average Beta (Global)'!$A$2:$M$95,13))</f>
        <v/>
      </c>
    </row>
    <row r="59" ht="14.1" customHeight="1">
      <c r="A59" s="61" t="n"/>
      <c r="B59" s="62" t="inlineStr">
        <is>
          <t>Equity</t>
        </is>
      </c>
      <c r="C59" s="62" t="inlineStr">
        <is>
          <t xml:space="preserve">Debt </t>
        </is>
      </c>
      <c r="D59" s="62" t="inlineStr">
        <is>
          <t>Preferred Stock</t>
        </is>
      </c>
      <c r="E59" s="62" t="inlineStr">
        <is>
          <t>Capital</t>
        </is>
      </c>
      <c r="F59" s="61" t="n"/>
      <c r="G59" s="186" t="n"/>
      <c r="H59" s="751" t="n"/>
      <c r="I59" s="752">
        <f>IF(G59=0,,VLOOKUP(G59,'Industry Average Beta (Global)'!$A$2:$O$95,15))</f>
        <v/>
      </c>
      <c r="J59" s="753">
        <f>H59*I59</f>
        <v/>
      </c>
      <c r="K59" s="752">
        <f>IF(G59=0,,VLOOKUP(G59,'Industry Average Beta (Global)'!$A$2:$O$95,7))</f>
        <v/>
      </c>
      <c r="L59" s="189">
        <f>IF(I59=0,0,VLOOKUP(G59,'Industry Average Beta (Global)'!$A$2:$M$95,13))</f>
        <v/>
      </c>
    </row>
    <row r="60" ht="14.1" customHeight="1">
      <c r="A60" s="12" t="inlineStr">
        <is>
          <t>Market Value</t>
        </is>
      </c>
      <c r="B60" s="758">
        <f>B18*B19</f>
        <v/>
      </c>
      <c r="C60" s="759">
        <f>C53+C54+C55</f>
        <v/>
      </c>
      <c r="D60" s="758">
        <f>B48*B49</f>
        <v/>
      </c>
      <c r="E60" s="759">
        <f>SUM(B60:D60)</f>
        <v/>
      </c>
      <c r="F60" s="6" t="n"/>
      <c r="G60" s="81" t="n"/>
      <c r="H60" s="751" t="n"/>
      <c r="I60" s="752">
        <f>IF(G60=0,,VLOOKUP(G60,'Industry Average Beta (Global)'!$A$2:$O$95,15))</f>
        <v/>
      </c>
      <c r="J60" s="753">
        <f>H60*I60</f>
        <v/>
      </c>
      <c r="K60" s="752">
        <f>IF(G60=0,,VLOOKUP(G60,'Industry Average Beta (Global)'!$A$2:$O$95,7))</f>
        <v/>
      </c>
      <c r="L60" s="189">
        <f>IF(I60=0,0,VLOOKUP(G60,'Industry Average Beta (Global)'!$A$2:$M$95,13))</f>
        <v/>
      </c>
      <c r="M60" s="573" t="inlineStr">
        <is>
          <t>The cost of capital  is in US dollars, using the riskfree rate at the start of the year. It will be adjusted for the difference in riskfree rates to make it more current and to change currencies.</t>
        </is>
      </c>
      <c r="N60" s="656" t="n"/>
      <c r="O60" s="657" t="n"/>
    </row>
    <row r="61" ht="15" customHeight="1" thickBot="1">
      <c r="A61" s="12" t="inlineStr">
        <is>
          <t>Weight in Cost of Capital</t>
        </is>
      </c>
      <c r="B61" s="66">
        <f>B60/$E$60</f>
        <v/>
      </c>
      <c r="C61" s="66">
        <f>C60/$E$60</f>
        <v/>
      </c>
      <c r="D61" s="66">
        <f>D60/$E$60</f>
        <v/>
      </c>
      <c r="E61" s="67">
        <f>SUM(B61:D61)</f>
        <v/>
      </c>
      <c r="F61" s="6" t="n"/>
      <c r="G61" s="81" t="n"/>
      <c r="H61" s="751" t="n"/>
      <c r="I61" s="752">
        <f>IF(G61=0,,VLOOKUP(G61,'Industry Average Beta (Global)'!$A$2:$O$95,15))</f>
        <v/>
      </c>
      <c r="J61" s="753">
        <f>H61*I61</f>
        <v/>
      </c>
      <c r="K61" s="752">
        <f>IF(G61=0,,VLOOKUP(G61,'Industry Average Beta (Global)'!$A$2:$O$95,7))</f>
        <v/>
      </c>
      <c r="L61" s="189">
        <f>IF(I61=0,0,VLOOKUP(G61,'Industry Average Beta (Global)'!$A$2:$M$95,13))</f>
        <v/>
      </c>
      <c r="M61" s="659" t="n"/>
      <c r="O61" s="660" t="n"/>
    </row>
    <row r="62" ht="15" customHeight="1" thickBot="1">
      <c r="A62" s="12" t="inlineStr">
        <is>
          <t>Cost of Component</t>
        </is>
      </c>
      <c r="B62" s="68">
        <f>B24+C57*B27</f>
        <v/>
      </c>
      <c r="C62" s="66">
        <f>B37*(1-B38)</f>
        <v/>
      </c>
      <c r="D62" s="69">
        <f>B50/B49</f>
        <v/>
      </c>
      <c r="E62" s="70">
        <f>B61*B62+C61*C62+D61*D62</f>
        <v/>
      </c>
      <c r="F62" s="6" t="n"/>
      <c r="G62" s="81" t="n"/>
      <c r="H62" s="751" t="n"/>
      <c r="I62" s="752">
        <f>IF(G62=0,,VLOOKUP(G62,'Industry Average Beta (Global)'!$A$2:$O$95,15))</f>
        <v/>
      </c>
      <c r="J62" s="753">
        <f>H62*I62</f>
        <v/>
      </c>
      <c r="K62" s="752">
        <f>IF(G62=0,,VLOOKUP(G62,'Industry Average Beta (Global)'!$A$2:$O$95,7))</f>
        <v/>
      </c>
      <c r="L62" s="189">
        <f>IF(I62=0,0,VLOOKUP(G62,'Industry Average Beta (Global)'!$A$2:$M$95,13))</f>
        <v/>
      </c>
      <c r="M62" s="659" t="n"/>
      <c r="O62" s="660" t="n"/>
    </row>
    <row r="63" ht="14.1" customHeight="1">
      <c r="G63" s="81" t="n"/>
      <c r="H63" s="751" t="n"/>
      <c r="I63" s="752">
        <f>IF(G63=0,,VLOOKUP(G63,'Industry Average Beta (Global)'!$A$2:$O$95,15))</f>
        <v/>
      </c>
      <c r="J63" s="753">
        <f>H63*I63</f>
        <v/>
      </c>
      <c r="K63" s="752">
        <f>IF(G63=0,,VLOOKUP(G63,'Industry Average Beta (Global)'!$A$2:$O$95,7))</f>
        <v/>
      </c>
      <c r="L63" s="189">
        <f>IF(I63=0,0,VLOOKUP(G63,'Industry Average Beta (Global)'!$A$2:$M$95,13))</f>
        <v/>
      </c>
      <c r="M63" s="659" t="n"/>
      <c r="O63" s="660" t="n"/>
    </row>
    <row r="64" ht="15" customHeight="1" thickBot="1">
      <c r="G64" s="90" t="inlineStr">
        <is>
          <t>Company</t>
        </is>
      </c>
      <c r="H64" s="755">
        <f>SUM(H52:H63)</f>
        <v/>
      </c>
      <c r="I64" s="756" t="n"/>
      <c r="J64" s="753">
        <f>SUM(J52:J63)</f>
        <v/>
      </c>
      <c r="K64" s="756">
        <f>K52*(J52/J64)+K53*J53/J64+K54*J54/J64+K55*J55/J64+K56*J56/J64+K57*J57/J64+K58*J58/J64+K59*J59/J64+K60*J60/J64+K61*J61/J64+K62*J62/J64+K63*J63/J64</f>
        <v/>
      </c>
      <c r="L64" s="190">
        <f>L52*(J52/J64)+L53*J53/J64+L54*J54/J64+L55*J55/J64+L56*J56/J64+L57*J57/J64+L58*J58/J64+L59*J59/J64+L60*J60/J64+L61*J61/J64+L62*J62/J64+L63*J63/J64</f>
        <v/>
      </c>
      <c r="M64" s="661" t="n"/>
      <c r="N64" s="662" t="n"/>
      <c r="O64" s="663" t="n"/>
    </row>
    <row r="65" ht="17.1" customHeight="1" thickBot="1">
      <c r="A65" s="760" t="inlineStr">
        <is>
          <t>Approach 2: industry average cost of capital, adjusted for riskfre rate differences</t>
        </is>
      </c>
      <c r="B65" s="620" t="n"/>
      <c r="C65" s="620" t="n"/>
      <c r="D65" s="620" t="n"/>
      <c r="E65" s="620" t="n"/>
      <c r="F65" s="621" t="n"/>
    </row>
    <row r="66" ht="15" customHeight="1" thickBot="1">
      <c r="A66" s="6" t="inlineStr">
        <is>
          <t xml:space="preserve">Industry </t>
        </is>
      </c>
      <c r="B66" s="191" t="inlineStr">
        <is>
          <t>Multibusiness(US)</t>
        </is>
      </c>
    </row>
    <row r="67" ht="14.1" customHeight="1" thickBot="1">
      <c r="A67" t="inlineStr">
        <is>
          <t>Cost of capital, adjusted for riskfree rate difference</t>
        </is>
      </c>
      <c r="B67" s="192">
        <f>IF(B66="Single Business(US)",(VLOOKUP('Input sheet'!B8,'Industry Averages(US)'!A2:M95,13)+('Input sheet'!B34-3.88%)),IF(B66="Multibusiness(US)",L48+('Input sheet'!B34-3.88%),IF(B66="Single Business(Global)",(VLOOKUP('Input sheet'!B8,'Industry Average Beta (Global)'!A2:M95,13)+('Input sheet'!B34-3.88%)),L64+('Input sheet'!B34-3.88%))))</f>
        <v/>
      </c>
    </row>
    <row r="68" ht="14.1" customHeight="1" thickBot="1"/>
    <row r="69" ht="17.1" customHeight="1" thickBot="1">
      <c r="A69" s="760" t="inlineStr">
        <is>
          <t>Approach 3: Uae histogram of costs of capital of all publicly traded firms</t>
        </is>
      </c>
      <c r="B69" s="620" t="n"/>
      <c r="C69" s="620" t="n"/>
      <c r="D69" s="620" t="n"/>
      <c r="E69" s="620" t="n"/>
      <c r="F69" s="621" t="n"/>
    </row>
    <row r="70">
      <c r="A70" t="inlineStr">
        <is>
          <t>Which grouping (US, Emerging Markets, Global)</t>
        </is>
      </c>
      <c r="B70" s="197" t="inlineStr">
        <is>
          <t>US</t>
        </is>
      </c>
    </row>
    <row r="71">
      <c r="A71" t="inlineStr">
        <is>
          <t>Which risk grouping does your company fall in?</t>
        </is>
      </c>
      <c r="B71" s="197" t="inlineStr">
        <is>
          <t>Third Quartile</t>
        </is>
      </c>
    </row>
    <row r="72">
      <c r="A72" t="inlineStr">
        <is>
          <t>Cost of capital based upon decile/group chosen</t>
        </is>
      </c>
      <c r="B72" s="190">
        <f>VLOOKUP(B70,A75:F79,IF(B71="First Decile",2,IF(B71="First Quartile",3,IF(B71="Median",4,IF(B71="Third Quartile",5,6)))))</f>
        <v/>
      </c>
    </row>
    <row r="74" ht="14.1" customHeight="1">
      <c r="A74" s="439" t="inlineStr">
        <is>
          <t>Region</t>
        </is>
      </c>
      <c r="B74" s="441" t="inlineStr">
        <is>
          <t>First Decile</t>
        </is>
      </c>
      <c r="C74" s="442" t="inlineStr">
        <is>
          <t>First Quartile</t>
        </is>
      </c>
      <c r="D74" s="442" t="inlineStr">
        <is>
          <t>Median</t>
        </is>
      </c>
      <c r="E74" s="442" t="inlineStr">
        <is>
          <t>Third Quartile</t>
        </is>
      </c>
      <c r="F74" s="442" t="inlineStr">
        <is>
          <t>Ninth Decile</t>
        </is>
      </c>
    </row>
    <row r="75">
      <c r="A75" s="439" t="inlineStr">
        <is>
          <t>Emerging</t>
        </is>
      </c>
      <c r="B75" s="761">
        <f>'Input sheet'!B34+2.37%</f>
        <v/>
      </c>
      <c r="C75" s="761">
        <f>'Input sheet'!B34+3.43%</f>
        <v/>
      </c>
      <c r="D75" s="761">
        <f>'Input sheet'!B34+4.74%</f>
        <v/>
      </c>
      <c r="E75" s="761">
        <f>'Input sheet'!B34+5.94%</f>
        <v/>
      </c>
      <c r="F75" s="761">
        <f>'Input sheet'!B34+7.77%</f>
        <v/>
      </c>
    </row>
    <row r="76">
      <c r="A76" s="439" t="inlineStr">
        <is>
          <t>Europe</t>
        </is>
      </c>
      <c r="B76" s="761">
        <f>'Input sheet'!B34+3.04%</f>
        <v/>
      </c>
      <c r="C76" s="761">
        <f>'Input sheet'!B34+4.18%</f>
        <v/>
      </c>
      <c r="D76" s="761">
        <f>'Input sheet'!B34+5.4%</f>
        <v/>
      </c>
      <c r="E76" s="761">
        <f>'Input sheet'!B34+6.87%</f>
        <v/>
      </c>
      <c r="F76" s="761">
        <f>'Input sheet'!B34+8.77%</f>
        <v/>
      </c>
    </row>
    <row r="77">
      <c r="A77" s="439" t="inlineStr">
        <is>
          <t>Global</t>
        </is>
      </c>
      <c r="B77" s="761">
        <f>'Input sheet'!B34+1.32%</f>
        <v/>
      </c>
      <c r="C77" s="761">
        <f>'Input sheet'!B34+2.45%</f>
        <v/>
      </c>
      <c r="D77" s="761">
        <f>'Input sheet'!B34+4.03%</f>
        <v/>
      </c>
      <c r="E77" s="761">
        <f>'Input sheet'!B34+4.99%</f>
        <v/>
      </c>
      <c r="F77" s="761">
        <f>'Input sheet'!B34+5.74%</f>
        <v/>
      </c>
    </row>
    <row r="78">
      <c r="A78" s="439" t="inlineStr">
        <is>
          <t>Japan</t>
        </is>
      </c>
      <c r="B78" s="761">
        <f>'Input sheet'!B34+2.6%</f>
        <v/>
      </c>
      <c r="C78" s="761">
        <f>'Input sheet'!B34+3.58%</f>
        <v/>
      </c>
      <c r="D78" s="761">
        <f>'Input sheet'!B34+4.74%</f>
        <v/>
      </c>
      <c r="E78" s="761">
        <f>'Input sheet'!B34+5.59%</f>
        <v/>
      </c>
      <c r="F78" s="761">
        <f>'Input sheet'!B34+6.83%</f>
        <v/>
      </c>
    </row>
    <row r="79">
      <c r="A79" s="439" t="inlineStr">
        <is>
          <t>US</t>
        </is>
      </c>
      <c r="B79" s="761">
        <f>'Input sheet'!B34+2.35%</f>
        <v/>
      </c>
      <c r="C79" s="761">
        <f>'Input sheet'!B34+3.67%</f>
        <v/>
      </c>
      <c r="D79" s="761">
        <f>'Input sheet'!B34+4.52%</f>
        <v/>
      </c>
      <c r="E79" s="761">
        <f>'Input sheet'!B34+4.76%</f>
        <v/>
      </c>
      <c r="F79" s="761">
        <f>'Input sheet'!B34+5.29%</f>
        <v/>
      </c>
    </row>
    <row r="80">
      <c r="A80" s="562"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6" t="n"/>
      <c r="C80" s="656" t="n"/>
      <c r="D80" s="656" t="n"/>
      <c r="E80" s="656" t="n"/>
      <c r="F80" s="656"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9">
      <c r="A1" s="249" t="inlineStr">
        <is>
          <t>Estimating the likelihood of failure</t>
        </is>
      </c>
    </row>
    <row r="2" ht="18" customFormat="1" customHeight="1" s="247">
      <c r="A2" s="247" t="inlineStr">
        <is>
          <t>Approach 1: Using a corporate bond rating</t>
        </is>
      </c>
    </row>
    <row r="3" ht="14.1" customHeight="1" thickBot="1"/>
    <row r="4" ht="15" customHeight="1" thickBot="1">
      <c r="A4" s="762" t="inlineStr">
        <is>
          <t>Default Probabilities over time (1 - 10 year time horizons)</t>
        </is>
      </c>
      <c r="B4" s="620" t="n"/>
      <c r="C4" s="620" t="n"/>
      <c r="D4" s="620" t="n"/>
      <c r="E4" s="620" t="n"/>
      <c r="F4" s="620" t="n"/>
      <c r="G4" s="620" t="n"/>
      <c r="H4" s="620" t="n"/>
      <c r="I4" s="620" t="n"/>
      <c r="J4" s="620" t="n"/>
      <c r="K4" s="621"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8" t="inlineStr">
        <is>
          <t>Thus, if you use the 10-year likelihood of failure, the chance of failure for a BB rated firm is 11.78%.</t>
        </is>
      </c>
    </row>
    <row r="16" ht="18" customFormat="1" customHeight="1" s="247">
      <c r="A16" s="247" t="inlineStr">
        <is>
          <t>Approach 2: Using corporate age (for young companies)</t>
        </is>
      </c>
    </row>
    <row r="17">
      <c r="O17" s="590" t="inlineStr">
        <is>
          <t>Survial Rate Data from Bureau of Labor Statistics (2022)</t>
        </is>
      </c>
    </row>
    <row r="18" ht="15.95" customHeight="1">
      <c r="A18" s="250" t="n"/>
      <c r="B18" s="251" t="n"/>
      <c r="C18" s="252" t="inlineStr">
        <is>
          <t>Agriculture</t>
        </is>
      </c>
      <c r="D18" s="252" t="inlineStr">
        <is>
          <t>Mining</t>
        </is>
      </c>
      <c r="E18" s="252" t="inlineStr">
        <is>
          <t>Utilities</t>
        </is>
      </c>
      <c r="F18" s="252" t="inlineStr">
        <is>
          <t>Construction</t>
        </is>
      </c>
      <c r="G18" s="252" t="inlineStr">
        <is>
          <t>Manufacturing</t>
        </is>
      </c>
      <c r="H18" s="252" t="inlineStr">
        <is>
          <t>Retail</t>
        </is>
      </c>
      <c r="I18" s="252" t="inlineStr">
        <is>
          <t>Transportation</t>
        </is>
      </c>
      <c r="J18" s="252" t="inlineStr">
        <is>
          <t>Information</t>
        </is>
      </c>
      <c r="K18" s="252" t="inlineStr">
        <is>
          <t>Health Care</t>
        </is>
      </c>
      <c r="L18" s="252" t="inlineStr">
        <is>
          <t>All Sectors</t>
        </is>
      </c>
      <c r="O18" s="252" t="inlineStr">
        <is>
          <t>Agriculture</t>
        </is>
      </c>
      <c r="P18" s="252" t="inlineStr">
        <is>
          <t>Mining</t>
        </is>
      </c>
      <c r="Q18" s="252" t="inlineStr">
        <is>
          <t>Utilities</t>
        </is>
      </c>
      <c r="R18" s="252" t="inlineStr">
        <is>
          <t>Construction</t>
        </is>
      </c>
      <c r="S18" s="252" t="inlineStr">
        <is>
          <t>Manufacturing</t>
        </is>
      </c>
      <c r="T18" s="252" t="inlineStr">
        <is>
          <t>Retail</t>
        </is>
      </c>
      <c r="U18" s="252" t="inlineStr">
        <is>
          <t>Transportation</t>
        </is>
      </c>
      <c r="V18" s="252" t="inlineStr">
        <is>
          <t>Information</t>
        </is>
      </c>
      <c r="W18" s="252" t="inlineStr">
        <is>
          <t>Health Care</t>
        </is>
      </c>
      <c r="X18" s="252" t="inlineStr">
        <is>
          <t>All Sectors</t>
        </is>
      </c>
    </row>
    <row r="19" ht="15.95" customHeight="1">
      <c r="A19" s="763" t="inlineStr">
        <is>
          <t>Failure Rate given age</t>
        </is>
      </c>
      <c r="B19" s="255" t="n">
        <v>0</v>
      </c>
      <c r="C19" s="253">
        <f>1-O28</f>
        <v/>
      </c>
      <c r="D19" s="253">
        <f>1-P28</f>
        <v/>
      </c>
      <c r="E19" s="253">
        <f>1-Q28</f>
        <v/>
      </c>
      <c r="F19" s="253">
        <f>1-R28</f>
        <v/>
      </c>
      <c r="G19" s="253">
        <f>1-S28</f>
        <v/>
      </c>
      <c r="H19" s="253">
        <f>1-T28</f>
        <v/>
      </c>
      <c r="I19" s="253">
        <f>1-U28</f>
        <v/>
      </c>
      <c r="J19" s="253">
        <f>1-V28</f>
        <v/>
      </c>
      <c r="K19" s="253">
        <f>1-W28</f>
        <v/>
      </c>
      <c r="L19" s="253">
        <f>1-X28</f>
        <v/>
      </c>
      <c r="N19" t="n">
        <v>1</v>
      </c>
      <c r="O19" s="254" t="n">
        <v>0.823</v>
      </c>
      <c r="P19" s="254" t="n">
        <v>0.8179999999999999</v>
      </c>
      <c r="Q19" s="254" t="n">
        <v>0.84</v>
      </c>
      <c r="R19" s="254" t="n">
        <v>0.743</v>
      </c>
      <c r="S19" s="254" t="n">
        <v>0.828</v>
      </c>
      <c r="T19" s="254" t="n">
        <v>0.831</v>
      </c>
      <c r="U19" s="254" t="n">
        <v>0.769</v>
      </c>
      <c r="V19" s="254" t="n">
        <v>0.752</v>
      </c>
      <c r="W19" s="254" t="n">
        <v>0.8140000000000001</v>
      </c>
      <c r="X19" s="254" t="n">
        <v>0.7829999999999999</v>
      </c>
    </row>
    <row r="20" ht="15.95" customHeight="1">
      <c r="A20" s="764" t="n"/>
      <c r="B20" s="255" t="n">
        <v>1</v>
      </c>
      <c r="C20" s="253">
        <f>O19-O$28</f>
        <v/>
      </c>
      <c r="D20" s="253">
        <f>P19-P$28</f>
        <v/>
      </c>
      <c r="E20" s="253">
        <f>Q19-Q$28</f>
        <v/>
      </c>
      <c r="F20" s="253">
        <f>R19-R$28</f>
        <v/>
      </c>
      <c r="G20" s="253">
        <f>S19-S$28</f>
        <v/>
      </c>
      <c r="H20" s="253">
        <f>T19-T$28</f>
        <v/>
      </c>
      <c r="I20" s="253">
        <f>U19-U$28</f>
        <v/>
      </c>
      <c r="J20" s="253">
        <f>V19-V$28</f>
        <v/>
      </c>
      <c r="K20" s="253">
        <f>W19-W$28</f>
        <v/>
      </c>
      <c r="L20" s="253">
        <f>X19-X$28</f>
        <v/>
      </c>
      <c r="N20" t="n">
        <v>2</v>
      </c>
      <c r="O20" s="254" t="n">
        <v>0.748</v>
      </c>
      <c r="P20" s="254" t="n">
        <v>0.7120000000000001</v>
      </c>
      <c r="Q20" s="254" t="n">
        <v>0.735</v>
      </c>
      <c r="R20" s="254" t="n">
        <v>0.598</v>
      </c>
      <c r="S20" s="254" t="n">
        <v>0.7240000000000001</v>
      </c>
      <c r="T20" s="254" t="n">
        <v>0.7240000000000001</v>
      </c>
      <c r="U20" s="254" t="n">
        <v>0.636</v>
      </c>
      <c r="V20" s="254" t="n">
        <v>0.627</v>
      </c>
      <c r="W20" s="254" t="n">
        <v>0.722</v>
      </c>
      <c r="X20" s="254" t="n">
        <v>0.662</v>
      </c>
    </row>
    <row r="21" ht="15.95" customHeight="1">
      <c r="A21" s="764" t="n"/>
      <c r="B21" s="255" t="n">
        <v>2</v>
      </c>
      <c r="C21" s="253">
        <f>O20-O$28</f>
        <v/>
      </c>
      <c r="D21" s="253">
        <f>P20-P$28</f>
        <v/>
      </c>
      <c r="E21" s="253">
        <f>Q20-Q$28</f>
        <v/>
      </c>
      <c r="F21" s="253">
        <f>R20-R$28</f>
        <v/>
      </c>
      <c r="G21" s="253">
        <f>S20-S$28</f>
        <v/>
      </c>
      <c r="H21" s="253">
        <f>T20-T$28</f>
        <v/>
      </c>
      <c r="I21" s="253">
        <f>U20-U$28</f>
        <v/>
      </c>
      <c r="J21" s="253">
        <f>V20-V$28</f>
        <v/>
      </c>
      <c r="K21" s="253">
        <f>W20-W$28</f>
        <v/>
      </c>
      <c r="L21" s="253">
        <f>X20-X$28</f>
        <v/>
      </c>
      <c r="N21" t="n">
        <v>3</v>
      </c>
      <c r="O21" s="254" t="n">
        <v>0.6609999999999999</v>
      </c>
      <c r="P21" s="254" t="n">
        <v>0.629</v>
      </c>
      <c r="Q21" s="254" t="n">
        <v>0.67</v>
      </c>
      <c r="R21" s="254" t="n">
        <v>0.456</v>
      </c>
      <c r="S21" s="254" t="n">
        <v>0.622</v>
      </c>
      <c r="T21" s="254" t="n">
        <v>0.631</v>
      </c>
      <c r="U21" s="254" t="n">
        <v>0.523</v>
      </c>
      <c r="V21" s="254" t="n">
        <v>0.5329999999999999</v>
      </c>
      <c r="W21" s="254" t="n">
        <v>0.674</v>
      </c>
      <c r="X21" s="254" t="n">
        <v>0.5660000000000001</v>
      </c>
    </row>
    <row r="22" ht="15.95" customHeight="1">
      <c r="A22" s="764" t="n"/>
      <c r="B22" s="255" t="n">
        <v>3</v>
      </c>
      <c r="C22" s="253">
        <f>O21-O$28</f>
        <v/>
      </c>
      <c r="D22" s="253">
        <f>P21-P$28</f>
        <v/>
      </c>
      <c r="E22" s="253">
        <f>Q21-Q$28</f>
        <v/>
      </c>
      <c r="F22" s="253">
        <f>R21-R$28</f>
        <v/>
      </c>
      <c r="G22" s="253">
        <f>S21-S$28</f>
        <v/>
      </c>
      <c r="H22" s="253">
        <f>T21-T$28</f>
        <v/>
      </c>
      <c r="I22" s="253">
        <f>U21-U$28</f>
        <v/>
      </c>
      <c r="J22" s="253">
        <f>V21-V$28</f>
        <v/>
      </c>
      <c r="K22" s="253">
        <f>W21-W$28</f>
        <v/>
      </c>
      <c r="L22" s="253">
        <f>X21-X$28</f>
        <v/>
      </c>
      <c r="N22" t="n">
        <v>4</v>
      </c>
      <c r="O22" s="254" t="n">
        <v>0.612</v>
      </c>
      <c r="P22" s="254" t="n">
        <v>0.5379999999999999</v>
      </c>
      <c r="Q22" s="254" t="n">
        <v>0.629</v>
      </c>
      <c r="R22" s="254" t="n">
        <v>0.371</v>
      </c>
      <c r="S22" s="254" t="n">
        <v>0.541</v>
      </c>
      <c r="T22" s="254" t="n">
        <v>0.5649999999999999</v>
      </c>
      <c r="U22" s="254" t="n">
        <v>0.45</v>
      </c>
      <c r="V22" s="254" t="n">
        <v>0.464</v>
      </c>
      <c r="W22" s="254" t="n">
        <v>0.613</v>
      </c>
      <c r="X22" s="254" t="n">
        <v>0.498</v>
      </c>
    </row>
    <row r="23" ht="15.95" customHeight="1">
      <c r="A23" s="764" t="n"/>
      <c r="B23" s="255" t="n">
        <v>4</v>
      </c>
      <c r="C23" s="253">
        <f>O22-O$28</f>
        <v/>
      </c>
      <c r="D23" s="253">
        <f>P22-P$28</f>
        <v/>
      </c>
      <c r="E23" s="253">
        <f>Q22-Q$28</f>
        <v/>
      </c>
      <c r="F23" s="253">
        <f>R22-R$28</f>
        <v/>
      </c>
      <c r="G23" s="253">
        <f>S22-S$28</f>
        <v/>
      </c>
      <c r="H23" s="253">
        <f>T22-T$28</f>
        <v/>
      </c>
      <c r="I23" s="253">
        <f>U22-U$28</f>
        <v/>
      </c>
      <c r="J23" s="253">
        <f>V22-V$28</f>
        <v/>
      </c>
      <c r="K23" s="253">
        <f>W22-W$28</f>
        <v/>
      </c>
      <c r="L23" s="253">
        <f>X22-X$28</f>
        <v/>
      </c>
      <c r="N23" t="n">
        <v>5</v>
      </c>
      <c r="O23" s="254" t="n">
        <v>0.574</v>
      </c>
      <c r="P23" s="254" t="n">
        <v>0.512</v>
      </c>
      <c r="Q23" s="254" t="n">
        <v>0.5649999999999999</v>
      </c>
      <c r="R23" s="254" t="n">
        <v>0.332</v>
      </c>
      <c r="S23" s="254" t="n">
        <v>0.494</v>
      </c>
      <c r="T23" s="254" t="n">
        <v>0.521</v>
      </c>
      <c r="U23" s="254" t="n">
        <v>0.411</v>
      </c>
      <c r="V23" s="254" t="n">
        <v>0.419</v>
      </c>
      <c r="W23" s="254" t="n">
        <v>0.5589999999999999</v>
      </c>
      <c r="X23" s="254" t="n">
        <v>0.454</v>
      </c>
    </row>
    <row r="24" ht="15.95" customHeight="1">
      <c r="A24" s="764" t="n"/>
      <c r="B24" s="255" t="n">
        <v>5</v>
      </c>
      <c r="C24" s="253">
        <f>O23-O$28</f>
        <v/>
      </c>
      <c r="D24" s="253">
        <f>P23-P$28</f>
        <v/>
      </c>
      <c r="E24" s="253">
        <f>Q23-Q$28</f>
        <v/>
      </c>
      <c r="F24" s="253">
        <f>R23-R$28</f>
        <v/>
      </c>
      <c r="G24" s="253">
        <f>S23-S$28</f>
        <v/>
      </c>
      <c r="H24" s="253">
        <f>T23-T$28</f>
        <v/>
      </c>
      <c r="I24" s="253">
        <f>U23-U$28</f>
        <v/>
      </c>
      <c r="J24" s="253">
        <f>V23-V$28</f>
        <v/>
      </c>
      <c r="K24" s="253">
        <f>W23-W$28</f>
        <v/>
      </c>
      <c r="L24" s="253">
        <f>X23-X$28</f>
        <v/>
      </c>
      <c r="N24" t="n">
        <v>6</v>
      </c>
      <c r="O24" s="254" t="n">
        <v>0.541</v>
      </c>
      <c r="P24" s="254" t="n">
        <v>0.472</v>
      </c>
      <c r="Q24" s="254" t="n">
        <v>0.556</v>
      </c>
      <c r="R24" s="254" t="n">
        <v>0.306</v>
      </c>
      <c r="S24" s="254" t="n">
        <v>0.463</v>
      </c>
      <c r="T24" s="254" t="n">
        <v>0.485</v>
      </c>
      <c r="U24" s="254" t="n">
        <v>0.377</v>
      </c>
      <c r="V24" s="254" t="n">
        <v>0.3720000000000001</v>
      </c>
      <c r="W24" s="254" t="n">
        <v>0.5479999999999999</v>
      </c>
      <c r="X24" s="254" t="n">
        <v>0.423</v>
      </c>
    </row>
    <row r="25" ht="15.95" customHeight="1">
      <c r="A25" s="764" t="n"/>
      <c r="B25" s="255" t="n">
        <v>6</v>
      </c>
      <c r="C25" s="253">
        <f>O24-O$28</f>
        <v/>
      </c>
      <c r="D25" s="253">
        <f>P24-P$28</f>
        <v/>
      </c>
      <c r="E25" s="253">
        <f>Q24-Q$28</f>
        <v/>
      </c>
      <c r="F25" s="253">
        <f>R24-R$28</f>
        <v/>
      </c>
      <c r="G25" s="253">
        <f>S24-S$28</f>
        <v/>
      </c>
      <c r="H25" s="253">
        <f>T24-T$28</f>
        <v/>
      </c>
      <c r="I25" s="253">
        <f>U24-U$28</f>
        <v/>
      </c>
      <c r="J25" s="253">
        <f>V24-V$28</f>
        <v/>
      </c>
      <c r="K25" s="253">
        <f>W24-W$28</f>
        <v/>
      </c>
      <c r="L25" s="253">
        <f>X24-X$28</f>
        <v/>
      </c>
      <c r="N25" t="n">
        <v>7</v>
      </c>
      <c r="O25" s="254" t="n">
        <v>0.516</v>
      </c>
      <c r="P25" s="254" t="n">
        <v>0.429</v>
      </c>
      <c r="Q25" s="254" t="n">
        <v>0.516</v>
      </c>
      <c r="R25" s="254" t="n">
        <v>0.284</v>
      </c>
      <c r="S25" s="254" t="n">
        <v>0.4379999999999999</v>
      </c>
      <c r="T25" s="254" t="n">
        <v>0.457</v>
      </c>
      <c r="U25" s="254" t="n">
        <v>0.349</v>
      </c>
      <c r="V25" s="254" t="n">
        <v>0.34</v>
      </c>
      <c r="W25" s="254" t="n">
        <v>0.529</v>
      </c>
      <c r="X25" s="254" t="n">
        <v>0.396</v>
      </c>
    </row>
    <row r="26" ht="15.95" customHeight="1">
      <c r="A26" s="764" t="n"/>
      <c r="B26" s="255" t="n">
        <v>7</v>
      </c>
      <c r="C26" s="253">
        <f>O25-O$28</f>
        <v/>
      </c>
      <c r="D26" s="253">
        <f>P25-P$28</f>
        <v/>
      </c>
      <c r="E26" s="253">
        <f>Q25-Q$28</f>
        <v/>
      </c>
      <c r="F26" s="253">
        <f>R25-R$28</f>
        <v/>
      </c>
      <c r="G26" s="253">
        <f>S25-S$28</f>
        <v/>
      </c>
      <c r="H26" s="253">
        <f>T25-T$28</f>
        <v/>
      </c>
      <c r="I26" s="253">
        <f>U25-U$28</f>
        <v/>
      </c>
      <c r="J26" s="253">
        <f>V25-V$28</f>
        <v/>
      </c>
      <c r="K26" s="253">
        <f>W25-W$28</f>
        <v/>
      </c>
      <c r="L26" s="253">
        <f>X25-X$28</f>
        <v/>
      </c>
      <c r="N26" t="n">
        <v>8</v>
      </c>
      <c r="O26" s="254" t="n">
        <v>0.495</v>
      </c>
      <c r="P26" s="254" t="n">
        <v>0.405</v>
      </c>
      <c r="Q26" s="254" t="n">
        <v>0.503</v>
      </c>
      <c r="R26" s="254" t="n">
        <v>0.271</v>
      </c>
      <c r="S26" s="254" t="n">
        <v>0.415</v>
      </c>
      <c r="T26" s="254" t="n">
        <v>0.433</v>
      </c>
      <c r="U26" s="254" t="n">
        <v>0.324</v>
      </c>
      <c r="V26" s="254" t="n">
        <v>0.314</v>
      </c>
      <c r="W26" s="254" t="n">
        <v>0.484</v>
      </c>
      <c r="X26" s="254" t="n">
        <v>0.371</v>
      </c>
    </row>
    <row r="27" ht="15.95" customHeight="1">
      <c r="A27" s="764" t="n"/>
      <c r="B27" s="255" t="n">
        <v>8</v>
      </c>
      <c r="C27" s="253">
        <f>O26-O$28</f>
        <v/>
      </c>
      <c r="D27" s="253">
        <f>P26-P$28</f>
        <v/>
      </c>
      <c r="E27" s="253">
        <f>Q26-Q$28</f>
        <v/>
      </c>
      <c r="F27" s="253">
        <f>R26-R$28</f>
        <v/>
      </c>
      <c r="G27" s="253">
        <f>S26-S$28</f>
        <v/>
      </c>
      <c r="H27" s="253">
        <f>T26-T$28</f>
        <v/>
      </c>
      <c r="I27" s="253">
        <f>U26-U$28</f>
        <v/>
      </c>
      <c r="J27" s="253">
        <f>V26-V$28</f>
        <v/>
      </c>
      <c r="K27" s="253">
        <f>W26-W$28</f>
        <v/>
      </c>
      <c r="L27" s="253">
        <f>X26-X$28</f>
        <v/>
      </c>
      <c r="N27" t="n">
        <v>9</v>
      </c>
      <c r="O27" s="254" t="n">
        <v>0.465</v>
      </c>
      <c r="P27" s="254" t="n">
        <v>0.371</v>
      </c>
      <c r="Q27" s="254" t="n">
        <v>0.476</v>
      </c>
      <c r="R27" s="254" t="n">
        <v>0.258</v>
      </c>
      <c r="S27" s="254" t="n">
        <v>0.4</v>
      </c>
      <c r="T27" s="254" t="n">
        <v>0.41</v>
      </c>
      <c r="U27" s="254" t="n">
        <v>0.305</v>
      </c>
      <c r="V27" s="254" t="n">
        <v>0.274</v>
      </c>
      <c r="W27" s="254" t="n">
        <v>0.455</v>
      </c>
      <c r="X27" s="254" t="n">
        <v>0.348</v>
      </c>
    </row>
    <row r="28" ht="15.95" customHeight="1">
      <c r="A28" s="765" t="n"/>
      <c r="B28" s="255" t="n">
        <v>9</v>
      </c>
      <c r="C28" s="253">
        <f>O27-O$28</f>
        <v/>
      </c>
      <c r="D28" s="253">
        <f>P27-P$28</f>
        <v/>
      </c>
      <c r="E28" s="253">
        <f>Q27-Q$28</f>
        <v/>
      </c>
      <c r="F28" s="253">
        <f>R27-R$28</f>
        <v/>
      </c>
      <c r="G28" s="253">
        <f>S27-S$28</f>
        <v/>
      </c>
      <c r="H28" s="253">
        <f>T27-T$28</f>
        <v/>
      </c>
      <c r="I28" s="253">
        <f>U27-U$28</f>
        <v/>
      </c>
      <c r="J28" s="253">
        <f>V27-V$28</f>
        <v/>
      </c>
      <c r="K28" s="253">
        <f>W27-W$28</f>
        <v/>
      </c>
      <c r="L28" s="253">
        <f>X27-X$28</f>
        <v/>
      </c>
      <c r="N28" t="n">
        <v>10</v>
      </c>
      <c r="O28" s="254" t="n">
        <v>0.449</v>
      </c>
      <c r="P28" s="254" t="n">
        <v>0.323</v>
      </c>
      <c r="Q28" s="254" t="n">
        <v>0.449</v>
      </c>
      <c r="R28" s="254" t="n">
        <v>0.247</v>
      </c>
      <c r="S28" s="254" t="n">
        <v>0.381</v>
      </c>
      <c r="T28" s="254" t="n">
        <v>0.39</v>
      </c>
      <c r="U28" s="254" t="n">
        <v>0.284</v>
      </c>
      <c r="V28" s="254" t="n">
        <v>0.255</v>
      </c>
      <c r="W28" s="254" t="n">
        <v>0.425</v>
      </c>
      <c r="X28" s="254" t="n">
        <v>0.328</v>
      </c>
    </row>
    <row r="29" ht="15.95" customHeight="1">
      <c r="B29" s="255" t="n">
        <v>10</v>
      </c>
      <c r="C29" s="253">
        <f>O28-O$28</f>
        <v/>
      </c>
      <c r="D29" s="253">
        <f>P28-P$28</f>
        <v/>
      </c>
      <c r="E29" s="253">
        <f>Q28-Q$28</f>
        <v/>
      </c>
      <c r="F29" s="253">
        <f>R28-R$28</f>
        <v/>
      </c>
      <c r="G29" s="253">
        <f>S28-S$28</f>
        <v/>
      </c>
      <c r="H29" s="253">
        <f>T28-T$28</f>
        <v/>
      </c>
      <c r="I29" s="253">
        <f>U28-U$28</f>
        <v/>
      </c>
      <c r="J29" s="253">
        <f>V28-V$28</f>
        <v/>
      </c>
      <c r="K29" s="253">
        <f>W28-W$28</f>
        <v/>
      </c>
      <c r="L29" s="253">
        <f>X28-X$28</f>
        <v/>
      </c>
    </row>
    <row r="30" ht="15.95" customHeight="1">
      <c r="A30" t="inlineStr">
        <is>
          <t>Source; Bureau of Labor Statistics</t>
        </is>
      </c>
      <c r="B30" s="257" t="n"/>
      <c r="C30" s="258" t="n"/>
      <c r="D30" s="258" t="n"/>
      <c r="E30" s="258" t="n"/>
      <c r="F30" s="258" t="n"/>
      <c r="G30" s="258" t="n"/>
      <c r="H30" s="258" t="n"/>
      <c r="I30" s="258" t="n"/>
      <c r="J30" s="258" t="n"/>
      <c r="K30" s="258" t="n"/>
      <c r="L30" s="258" t="n"/>
    </row>
    <row r="31" ht="15.95" customFormat="1" customHeight="1" s="199">
      <c r="A31" s="199" t="inlineStr">
        <is>
          <t>Thus, if you are valuing a technology firm that is 6 years old, the chance of failure is 11.70%.</t>
        </is>
      </c>
    </row>
    <row r="32" ht="15.95" customHeight="1">
      <c r="B32" s="199" t="n"/>
      <c r="C32" s="199" t="n"/>
      <c r="D32" s="199" t="n"/>
      <c r="E32" s="199" t="n"/>
      <c r="F32" s="199" t="n"/>
      <c r="G32" s="199" t="n"/>
      <c r="H32" s="199" t="n"/>
      <c r="I32" s="199" t="n"/>
      <c r="J32" s="199" t="n"/>
      <c r="K32" s="199" t="n"/>
      <c r="L32" s="199" t="n"/>
    </row>
    <row r="33" ht="15.95" customHeight="1">
      <c r="A33" s="256" t="inlineStr">
        <is>
          <t>Factors to consider</t>
        </is>
      </c>
    </row>
    <row r="34" ht="15.95" customHeight="1">
      <c r="A34" s="199" t="inlineStr">
        <is>
          <t xml:space="preserve">1. The likelihood of failure decreases for larger firms. </t>
        </is>
      </c>
    </row>
    <row r="35" ht="15.95" customHeight="1">
      <c r="A35" s="199" t="inlineStr">
        <is>
          <t>2. The likelihood of failure decreases with access to capital, and is thus lower for publicly traded firms or firms with multiple high profile VCs</t>
        </is>
      </c>
    </row>
    <row r="36" ht="15.95" customHeight="1">
      <c r="A36" s="199" t="inlineStr">
        <is>
          <t>3. The likelihood of failure decreases as revenue growth increases, since hope for future growth will sustain the firm.</t>
        </is>
      </c>
    </row>
    <row r="37" ht="15.95" customHeight="1">
      <c r="A37" s="199"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2" sqref="C2"/>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0.0415</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f>$B$1+E5</f>
        <v/>
      </c>
      <c r="E5" s="119" t="n">
        <v>0.007219473999336784</v>
      </c>
      <c r="F5" s="119" t="n">
        <v>0.15</v>
      </c>
    </row>
    <row r="6" ht="15.95" customHeight="1">
      <c r="A6" s="430" t="inlineStr">
        <is>
          <t>Albania</t>
        </is>
      </c>
      <c r="B6" s="120" t="inlineStr">
        <is>
          <t>B1</t>
        </is>
      </c>
      <c r="C6" s="119" t="n">
        <v>0.04904110980246301</v>
      </c>
      <c r="D6" s="119">
        <f>$B$1+E6</f>
        <v/>
      </c>
      <c r="E6" s="119" t="n">
        <v>0.06583472718442829</v>
      </c>
      <c r="F6" s="119" t="n">
        <v>0.15</v>
      </c>
    </row>
    <row r="7" ht="15.95" customHeight="1">
      <c r="A7" s="615" t="inlineStr">
        <is>
          <t>Algeria</t>
        </is>
      </c>
      <c r="B7" s="120" t="inlineStr">
        <is>
          <t>NR</t>
        </is>
      </c>
      <c r="C7" s="119" t="n">
        <v>0.04904110980246301</v>
      </c>
      <c r="D7" s="119">
        <f>$B$1+E7</f>
        <v/>
      </c>
      <c r="E7" s="119" t="n">
        <v>0.06583472718442829</v>
      </c>
      <c r="F7" s="119" t="n">
        <v>0.26</v>
      </c>
    </row>
    <row r="8" ht="15.95" customHeight="1">
      <c r="A8" s="430" t="inlineStr">
        <is>
          <t>Andorra (Principality of)</t>
        </is>
      </c>
      <c r="B8" s="120" t="inlineStr">
        <is>
          <t>Baa2</t>
        </is>
      </c>
      <c r="C8" s="119" t="n">
        <v>0.02074323704438383</v>
      </c>
      <c r="D8" s="119">
        <f>$B$1+E8</f>
        <v/>
      </c>
      <c r="E8" s="119" t="n">
        <v>0.02784654256887045</v>
      </c>
      <c r="F8" s="119" t="n">
        <v>0.1898</v>
      </c>
    </row>
    <row r="9" ht="15.95" customHeight="1">
      <c r="A9" s="430" t="inlineStr">
        <is>
          <t>Angola</t>
        </is>
      </c>
      <c r="B9" s="120" t="inlineStr">
        <is>
          <t>B3</t>
        </is>
      </c>
      <c r="C9" s="119" t="n">
        <v>0.07080870423175468</v>
      </c>
      <c r="D9" s="119">
        <f>$B$1+E9</f>
        <v/>
      </c>
      <c r="E9" s="119" t="n">
        <v>0.09505640765793431</v>
      </c>
      <c r="F9" s="119" t="n">
        <v>0.25</v>
      </c>
    </row>
    <row r="10" ht="15.95" customHeight="1">
      <c r="A10" s="430" t="inlineStr">
        <is>
          <t>Anguilla</t>
        </is>
      </c>
      <c r="B10" s="590" t="inlineStr">
        <is>
          <t>NR</t>
        </is>
      </c>
      <c r="C10" s="173" t="n">
        <v>0.1054310997313879</v>
      </c>
      <c r="D10" s="119">
        <f>$B$1+E10</f>
        <v/>
      </c>
      <c r="E10" s="173" t="n">
        <v>0.1875348819700155</v>
      </c>
      <c r="F10" s="173" t="n">
        <v>0.2724561140242252</v>
      </c>
    </row>
    <row r="11" ht="15.95" customHeight="1">
      <c r="A11" s="430" t="inlineStr">
        <is>
          <t>Antigua &amp; Barbuda</t>
        </is>
      </c>
      <c r="B11" s="590" t="inlineStr">
        <is>
          <t>NR</t>
        </is>
      </c>
      <c r="C11" s="173" t="n">
        <v>0.1054310997313879</v>
      </c>
      <c r="D11" s="119">
        <f>$B$1+E11</f>
        <v/>
      </c>
      <c r="E11" s="173" t="n">
        <v>0.1875348819700155</v>
      </c>
      <c r="F11" s="173" t="n">
        <v>0.2724561140242252</v>
      </c>
    </row>
    <row r="12" ht="15.95" customHeight="1">
      <c r="A12" s="430" t="inlineStr">
        <is>
          <t>Argentina</t>
        </is>
      </c>
      <c r="B12" s="120" t="inlineStr">
        <is>
          <t>Ca</t>
        </is>
      </c>
      <c r="C12" s="119" t="n">
        <v>0.1307336112488635</v>
      </c>
      <c r="D12" s="119">
        <f>$B$1+E12</f>
        <v/>
      </c>
      <c r="E12" s="119" t="n">
        <v>0.1755019750791156</v>
      </c>
      <c r="F12" s="119" t="n">
        <v>0.35</v>
      </c>
    </row>
    <row r="13" ht="15.95" customHeight="1">
      <c r="A13" s="430" t="inlineStr">
        <is>
          <t>Armenia</t>
        </is>
      </c>
      <c r="B13" s="120" t="inlineStr">
        <is>
          <t>Ba3</t>
        </is>
      </c>
      <c r="C13" s="119" t="n">
        <v>0.03918166997272502</v>
      </c>
      <c r="D13" s="119">
        <f>$B$1+E13</f>
        <v/>
      </c>
      <c r="E13" s="119" t="n">
        <v>0.05259902485231086</v>
      </c>
      <c r="F13" s="119" t="n">
        <v>0.18</v>
      </c>
    </row>
    <row r="14" ht="15.95" customHeight="1">
      <c r="A14" s="430" t="inlineStr">
        <is>
          <t>Aruba</t>
        </is>
      </c>
      <c r="B14" s="120" t="inlineStr">
        <is>
          <t>Baa2</t>
        </is>
      </c>
      <c r="C14" s="119" t="n">
        <v>0.02074323704438383</v>
      </c>
      <c r="D14" s="119">
        <f>$B$1+E14</f>
        <v/>
      </c>
      <c r="E14" s="119" t="n">
        <v>0.02784654256887045</v>
      </c>
      <c r="F14" s="119" t="n">
        <v>0.25</v>
      </c>
    </row>
    <row r="15" ht="15.95" customHeight="1">
      <c r="A15" s="430" t="inlineStr">
        <is>
          <t>Australia</t>
        </is>
      </c>
      <c r="B15" s="120" t="inlineStr">
        <is>
          <t>Aaa</t>
        </is>
      </c>
      <c r="C15" s="119" t="n">
        <v>0</v>
      </c>
      <c r="D15" s="119">
        <f>$B$1+E15</f>
        <v/>
      </c>
      <c r="E15" s="119" t="n">
        <v>0</v>
      </c>
      <c r="F15" s="119" t="n">
        <v>0.3</v>
      </c>
    </row>
    <row r="16" ht="15.95" customHeight="1">
      <c r="A16" s="430" t="inlineStr">
        <is>
          <t>Austria</t>
        </is>
      </c>
      <c r="B16" s="120" t="inlineStr">
        <is>
          <t>Aa1</t>
        </is>
      </c>
      <c r="C16" s="119" t="n">
        <v>0.004353518885858335</v>
      </c>
      <c r="D16" s="119">
        <f>$B$1+E16</f>
        <v/>
      </c>
      <c r="E16" s="119" t="n">
        <v>0.005844336094701204</v>
      </c>
      <c r="F16" s="119" t="n">
        <v>0.24</v>
      </c>
    </row>
    <row r="17" ht="15.95" customHeight="1">
      <c r="A17" s="430" t="inlineStr">
        <is>
          <t>Azerbaijan</t>
        </is>
      </c>
      <c r="B17" s="120" t="inlineStr">
        <is>
          <t>Ba1</t>
        </is>
      </c>
      <c r="C17" s="119" t="n">
        <v>0.02727351537317134</v>
      </c>
      <c r="D17" s="119">
        <f>$B$1+E17</f>
        <v/>
      </c>
      <c r="E17" s="119" t="n">
        <v>0.03661304671092226</v>
      </c>
      <c r="F17" s="119" t="n">
        <v>0.2</v>
      </c>
    </row>
    <row r="18" ht="15.95" customHeight="1">
      <c r="A18" s="430" t="inlineStr">
        <is>
          <t>Bahamas</t>
        </is>
      </c>
      <c r="B18" s="120" t="inlineStr">
        <is>
          <t>B1</t>
        </is>
      </c>
      <c r="C18" s="119" t="n">
        <v>0.04904110980246301</v>
      </c>
      <c r="D18" s="119">
        <f>$B$1+E18</f>
        <v/>
      </c>
      <c r="E18" s="119" t="n">
        <v>0.06583472718442829</v>
      </c>
      <c r="F18" s="119" t="n">
        <v>0</v>
      </c>
    </row>
    <row r="19" ht="15.95" customHeight="1">
      <c r="A19" s="430" t="inlineStr">
        <is>
          <t>Bahrain</t>
        </is>
      </c>
      <c r="B19" s="120" t="inlineStr">
        <is>
          <t>B2</t>
        </is>
      </c>
      <c r="C19" s="119" t="n">
        <v>0.05992490701710886</v>
      </c>
      <c r="D19" s="119">
        <f>$B$1+E19</f>
        <v/>
      </c>
      <c r="E19" s="119" t="n">
        <v>0.08044556742118129</v>
      </c>
      <c r="F19" s="119" t="n">
        <v>0</v>
      </c>
    </row>
    <row r="20" ht="15.95" customHeight="1">
      <c r="A20" s="430" t="inlineStr">
        <is>
          <t>Bangladesh</t>
        </is>
      </c>
      <c r="B20" s="120" t="inlineStr">
        <is>
          <t>B1</t>
        </is>
      </c>
      <c r="C20" s="119" t="n">
        <v>0.04904110980246301</v>
      </c>
      <c r="D20" s="119">
        <f>$B$1+E20</f>
        <v/>
      </c>
      <c r="E20" s="119" t="n">
        <v>0.06583472718442829</v>
      </c>
      <c r="F20" s="119" t="n">
        <v>0.3</v>
      </c>
    </row>
    <row r="21" ht="15.95" customHeight="1">
      <c r="A21" s="430" t="inlineStr">
        <is>
          <t>Barbados</t>
        </is>
      </c>
      <c r="B21" s="120" t="inlineStr">
        <is>
          <t>B3</t>
        </is>
      </c>
      <c r="C21" s="119" t="n">
        <v>0.07080870423175468</v>
      </c>
      <c r="D21" s="119">
        <f>$B$1+E21</f>
        <v/>
      </c>
      <c r="E21" s="119" t="n">
        <v>0.09505640765793431</v>
      </c>
      <c r="F21" s="119" t="n">
        <v>0.055</v>
      </c>
    </row>
    <row r="22" ht="15.95" customHeight="1">
      <c r="A22" s="430" t="inlineStr">
        <is>
          <t>Belarus</t>
        </is>
      </c>
      <c r="B22" s="120" t="inlineStr">
        <is>
          <t>C</t>
        </is>
      </c>
      <c r="C22" s="119" t="n">
        <v>0.175</v>
      </c>
      <c r="D22" s="119">
        <f>$B$1+E22</f>
        <v/>
      </c>
      <c r="E22" s="119" t="n">
        <v>0.2349269277078294</v>
      </c>
      <c r="F22" s="119" t="n">
        <v>0.18</v>
      </c>
    </row>
    <row r="23" ht="15.95" customHeight="1">
      <c r="A23" s="430" t="inlineStr">
        <is>
          <t>Belgium</t>
        </is>
      </c>
      <c r="B23" s="120" t="inlineStr">
        <is>
          <t>Aa3</t>
        </is>
      </c>
      <c r="C23" s="119" t="n">
        <v>0.006530278328787503</v>
      </c>
      <c r="D23" s="119">
        <f>$B$1+E23</f>
        <v/>
      </c>
      <c r="E23" s="119" t="n">
        <v>0.008766504142051809</v>
      </c>
      <c r="F23" s="119" t="n">
        <v>0.25</v>
      </c>
    </row>
    <row r="24" ht="15.95" customHeight="1">
      <c r="A24" s="430" t="inlineStr">
        <is>
          <t>Belize</t>
        </is>
      </c>
      <c r="B24" s="120" t="inlineStr">
        <is>
          <t>Caa2</t>
        </is>
      </c>
      <c r="C24" s="119" t="n">
        <v>0.09808221960492602</v>
      </c>
      <c r="D24" s="119">
        <f>$B$1+E24</f>
        <v/>
      </c>
      <c r="E24" s="119" t="n">
        <v>0.1316694543688566</v>
      </c>
      <c r="F24" s="119" t="n">
        <v>0.2853</v>
      </c>
    </row>
    <row r="25" ht="15.95" customHeight="1">
      <c r="A25" s="430" t="inlineStr">
        <is>
          <t>Benin</t>
        </is>
      </c>
      <c r="B25" s="120" t="inlineStr">
        <is>
          <t>B1</t>
        </is>
      </c>
      <c r="C25" s="119" t="n">
        <v>0.04904110980246301</v>
      </c>
      <c r="D25" s="119">
        <f>$B$1+E25</f>
        <v/>
      </c>
      <c r="E25" s="119" t="n">
        <v>0.06583472718442829</v>
      </c>
      <c r="F25" s="119" t="n">
        <v>0.3</v>
      </c>
    </row>
    <row r="26" ht="15.95" customHeight="1">
      <c r="A26" s="430" t="inlineStr">
        <is>
          <t>Bermuda</t>
        </is>
      </c>
      <c r="B26" s="120" t="inlineStr">
        <is>
          <t>A2</t>
        </is>
      </c>
      <c r="C26" s="119" t="n">
        <v>0.009219216464170593</v>
      </c>
      <c r="D26" s="119">
        <f>$B$1+E26</f>
        <v/>
      </c>
      <c r="E26" s="119" t="n">
        <v>0.0123762411417202</v>
      </c>
      <c r="F26" s="119" t="n">
        <v>0</v>
      </c>
    </row>
    <row r="27" ht="15.95" customHeight="1">
      <c r="A27" s="430" t="inlineStr">
        <is>
          <t>Bolivia</t>
        </is>
      </c>
      <c r="B27" s="120" t="inlineStr">
        <is>
          <t>Caa1</t>
        </is>
      </c>
      <c r="C27" s="119" t="n">
        <v>0.08169250144640053</v>
      </c>
      <c r="D27" s="119">
        <f>$B$1+E27</f>
        <v/>
      </c>
      <c r="E27" s="119" t="n">
        <v>0.1096672478946873</v>
      </c>
      <c r="F27" s="119" t="n">
        <v>0.25</v>
      </c>
    </row>
    <row r="28" ht="15.95" customHeight="1">
      <c r="A28" s="430" t="inlineStr">
        <is>
          <t>Bosnia and Herzegovina</t>
        </is>
      </c>
      <c r="B28" s="120" t="inlineStr">
        <is>
          <t>B3</t>
        </is>
      </c>
      <c r="C28" s="119" t="n">
        <v>0.07080870423175468</v>
      </c>
      <c r="D28" s="119">
        <f>$B$1+E28</f>
        <v/>
      </c>
      <c r="E28" s="119" t="n">
        <v>0.09505640765793431</v>
      </c>
      <c r="F28" s="119" t="n">
        <v>0.1</v>
      </c>
    </row>
    <row r="29" ht="15.95" customHeight="1">
      <c r="A29" s="430" t="inlineStr">
        <is>
          <t>Botswana</t>
        </is>
      </c>
      <c r="B29" s="120" t="inlineStr">
        <is>
          <t>A3</t>
        </is>
      </c>
      <c r="C29" s="119" t="n">
        <v>0.01306055665757501</v>
      </c>
      <c r="D29" s="119">
        <f>$B$1+E29</f>
        <v/>
      </c>
      <c r="E29" s="119" t="n">
        <v>0.01753300828410362</v>
      </c>
      <c r="F29" s="119" t="n">
        <v>0.22</v>
      </c>
    </row>
    <row r="30" ht="15.95" customHeight="1">
      <c r="A30" s="430" t="inlineStr">
        <is>
          <t>Brazil</t>
        </is>
      </c>
      <c r="B30" s="120" t="inlineStr">
        <is>
          <t>Ba2</t>
        </is>
      </c>
      <c r="C30" s="119" t="n">
        <v>0.032779436317051</v>
      </c>
      <c r="D30" s="119">
        <f>$B$1+E30</f>
        <v/>
      </c>
      <c r="E30" s="119" t="n">
        <v>0.0440044129483385</v>
      </c>
      <c r="F30" s="119" t="n">
        <v>0.34</v>
      </c>
    </row>
    <row r="31" ht="15.95" customHeight="1">
      <c r="A31" s="430" t="inlineStr">
        <is>
          <t>British Virgin Islands</t>
        </is>
      </c>
      <c r="B31" s="120" t="inlineStr">
        <is>
          <t>Ba2</t>
        </is>
      </c>
      <c r="C31" s="119" t="n">
        <v>0.032779436317051</v>
      </c>
      <c r="D31" s="119">
        <f>$B$1+E31</f>
        <v/>
      </c>
      <c r="E31" s="119" t="n">
        <v>0.0440044129483385</v>
      </c>
      <c r="F31" s="119" t="n">
        <v>0.34</v>
      </c>
    </row>
    <row r="32" ht="15.95" customHeight="1">
      <c r="A32" s="616" t="inlineStr">
        <is>
          <t>Brunei</t>
        </is>
      </c>
      <c r="B32" s="120" t="inlineStr">
        <is>
          <t>NR</t>
        </is>
      </c>
      <c r="C32" s="119" t="n">
        <v>0.006530278328787503</v>
      </c>
      <c r="D32" s="119">
        <f>$B$1+E32</f>
        <v/>
      </c>
      <c r="E32" s="119" t="n">
        <v>0.008766504142051809</v>
      </c>
      <c r="F32" s="119" t="n">
        <v>0.185</v>
      </c>
    </row>
    <row r="33" ht="15.95" customHeight="1">
      <c r="A33" s="430" t="inlineStr">
        <is>
          <t>Bulgaria</t>
        </is>
      </c>
      <c r="B33" s="120" t="inlineStr">
        <is>
          <t>Baa1</t>
        </is>
      </c>
      <c r="C33" s="119" t="n">
        <v>0.01741407554343334</v>
      </c>
      <c r="D33" s="119">
        <f>$B$1+E33</f>
        <v/>
      </c>
      <c r="E33" s="119" t="n">
        <v>0.02337734437880483</v>
      </c>
      <c r="F33" s="119" t="n">
        <v>0.1</v>
      </c>
    </row>
    <row r="34" ht="15.95" customHeight="1">
      <c r="A34" s="430" t="inlineStr">
        <is>
          <t>Burkina Faso</t>
        </is>
      </c>
      <c r="B34" s="120" t="inlineStr">
        <is>
          <t>Caa1</t>
        </is>
      </c>
      <c r="C34" s="119" t="n">
        <v>0.08169250144640053</v>
      </c>
      <c r="D34" s="119">
        <f>$B$1+E34</f>
        <v/>
      </c>
      <c r="E34" s="119" t="n">
        <v>0.1096672478946873</v>
      </c>
      <c r="F34" s="119" t="n">
        <v>0.28</v>
      </c>
    </row>
    <row r="35" ht="15.95" customHeight="1">
      <c r="A35" s="430" t="inlineStr">
        <is>
          <t>Cambodia</t>
        </is>
      </c>
      <c r="B35" s="120" t="inlineStr">
        <is>
          <t>B2</t>
        </is>
      </c>
      <c r="C35" s="119" t="n">
        <v>0.05992490701710886</v>
      </c>
      <c r="D35" s="119">
        <f>$B$1+E35</f>
        <v/>
      </c>
      <c r="E35" s="119" t="n">
        <v>0.08044556742118129</v>
      </c>
      <c r="F35" s="119" t="n">
        <v>0.2</v>
      </c>
    </row>
    <row r="36" ht="15.95" customHeight="1">
      <c r="A36" s="430" t="inlineStr">
        <is>
          <t>Cameroon</t>
        </is>
      </c>
      <c r="B36" s="120" t="inlineStr">
        <is>
          <t>Caa1</t>
        </is>
      </c>
      <c r="C36" s="119" t="n">
        <v>0.08169250144640053</v>
      </c>
      <c r="D36" s="119">
        <f>$B$1+E36</f>
        <v/>
      </c>
      <c r="E36" s="119" t="n">
        <v>0.1096672478946873</v>
      </c>
      <c r="F36" s="119" t="n">
        <v>0.33</v>
      </c>
    </row>
    <row r="37" ht="15.95" customHeight="1">
      <c r="A37" s="430" t="inlineStr">
        <is>
          <t>Canada</t>
        </is>
      </c>
      <c r="B37" s="120" t="inlineStr">
        <is>
          <t>Aaa</t>
        </is>
      </c>
      <c r="C37" s="119" t="n">
        <v>0</v>
      </c>
      <c r="D37" s="119">
        <f>$B$1+E37</f>
        <v/>
      </c>
      <c r="E37" s="119" t="n">
        <v>0</v>
      </c>
      <c r="F37" s="119" t="n">
        <v>0.265</v>
      </c>
    </row>
    <row r="38" ht="15.95" customHeight="1">
      <c r="A38" s="430" t="inlineStr">
        <is>
          <t>Cape Verde</t>
        </is>
      </c>
      <c r="B38" s="120" t="inlineStr">
        <is>
          <t>B3</t>
        </is>
      </c>
      <c r="C38" s="119" t="n">
        <v>0.07080870423175468</v>
      </c>
      <c r="D38" s="119">
        <f>$B$1+E38</f>
        <v/>
      </c>
      <c r="E38" s="119" t="n">
        <v>0.09505640765793431</v>
      </c>
      <c r="F38" s="119" t="n">
        <v>0</v>
      </c>
    </row>
    <row r="39" ht="15.95" customHeight="1">
      <c r="A39" s="430" t="inlineStr">
        <is>
          <t>Cayman Islands</t>
        </is>
      </c>
      <c r="B39" s="120" t="inlineStr">
        <is>
          <t>Aa3</t>
        </is>
      </c>
      <c r="C39" s="119" t="n">
        <v>0.006530278328787503</v>
      </c>
      <c r="D39" s="119">
        <f>$B$1+E39</f>
        <v/>
      </c>
      <c r="E39" s="119" t="n">
        <v>0.008766504142051809</v>
      </c>
      <c r="F39" s="119" t="n">
        <v>0</v>
      </c>
    </row>
    <row r="40" ht="15.95" customHeight="1">
      <c r="A40" s="430" t="inlineStr">
        <is>
          <t>Channel Islands</t>
        </is>
      </c>
      <c r="B40" s="590" t="inlineStr">
        <is>
          <t>NR</t>
        </is>
      </c>
      <c r="C40" s="173" t="n">
        <v>0.009588220147283357</v>
      </c>
      <c r="D40" s="119">
        <f>$B$1+E40</f>
        <v/>
      </c>
      <c r="E40" s="173" t="n">
        <v>0.05887160629364337</v>
      </c>
      <c r="F40" s="173" t="n">
        <v>0.2470734954341358</v>
      </c>
    </row>
    <row r="41" ht="15.95" customHeight="1">
      <c r="A41" s="430" t="inlineStr">
        <is>
          <t>Chile</t>
        </is>
      </c>
      <c r="B41" s="120" t="inlineStr">
        <is>
          <t>A2</t>
        </is>
      </c>
      <c r="C41" s="119" t="n">
        <v>0.009219216464170593</v>
      </c>
      <c r="D41" s="119">
        <f>$B$1+E41</f>
        <v/>
      </c>
      <c r="E41" s="119" t="n">
        <v>0.0123762411417202</v>
      </c>
      <c r="F41" s="119" t="n">
        <v>0.27</v>
      </c>
    </row>
    <row r="42" ht="15.95" customHeight="1">
      <c r="A42" s="430" t="inlineStr">
        <is>
          <t>China</t>
        </is>
      </c>
      <c r="B42" s="120" t="inlineStr">
        <is>
          <t>A1</t>
        </is>
      </c>
      <c r="C42" s="119" t="n">
        <v>0.007682680386808828</v>
      </c>
      <c r="D42" s="119">
        <f>$B$1+E42</f>
        <v/>
      </c>
      <c r="E42" s="119" t="n">
        <v>0.01031353428476683</v>
      </c>
      <c r="F42" s="119" t="n">
        <v>0.25</v>
      </c>
    </row>
    <row r="43" ht="15.95" customHeight="1">
      <c r="A43" s="430" t="inlineStr">
        <is>
          <t>Colombia</t>
        </is>
      </c>
      <c r="B43" s="120" t="inlineStr">
        <is>
          <t>Baa2</t>
        </is>
      </c>
      <c r="C43" s="119" t="n">
        <v>0.02074323704438383</v>
      </c>
      <c r="D43" s="119">
        <f>$B$1+E43</f>
        <v/>
      </c>
      <c r="E43" s="119" t="n">
        <v>0.02784654256887045</v>
      </c>
      <c r="F43" s="119" t="n">
        <v>0.35</v>
      </c>
    </row>
    <row r="44" ht="15.95" customHeight="1">
      <c r="A44" s="430" t="inlineStr">
        <is>
          <t>Congo (Democratic Republic of)</t>
        </is>
      </c>
      <c r="B44" s="120" t="inlineStr">
        <is>
          <t>B3</t>
        </is>
      </c>
      <c r="C44" s="119" t="n">
        <v>0.07080870423175468</v>
      </c>
      <c r="D44" s="119">
        <f>$B$1+E44</f>
        <v/>
      </c>
      <c r="E44" s="119" t="n">
        <v>0.09505640765793431</v>
      </c>
      <c r="F44" s="119" t="n">
        <v>0.3</v>
      </c>
    </row>
    <row r="45" ht="15.95" customHeight="1">
      <c r="A45" s="430" t="inlineStr">
        <is>
          <t>Congo (Republic of)</t>
        </is>
      </c>
      <c r="B45" s="120" t="inlineStr">
        <is>
          <t>Caa2</t>
        </is>
      </c>
      <c r="C45" s="119" t="n">
        <v>0.09808221960492602</v>
      </c>
      <c r="D45" s="119">
        <f>$B$1+E45</f>
        <v/>
      </c>
      <c r="E45" s="119" t="n">
        <v>0.1316694543688566</v>
      </c>
      <c r="F45" s="119" t="n">
        <v>0.28</v>
      </c>
    </row>
    <row r="46" ht="15.95" customHeight="1">
      <c r="A46" s="430" t="inlineStr">
        <is>
          <t>Cook Islands</t>
        </is>
      </c>
      <c r="B46" s="120" t="inlineStr">
        <is>
          <t>B1</t>
        </is>
      </c>
      <c r="C46" s="119" t="n">
        <v>0.04904110980246301</v>
      </c>
      <c r="D46" s="119">
        <f>$B$1+E46</f>
        <v/>
      </c>
      <c r="E46" s="119" t="n">
        <v>0.06583472718442829</v>
      </c>
      <c r="F46" s="119" t="n">
        <v>0.2974</v>
      </c>
    </row>
    <row r="47" ht="15.95" customHeight="1">
      <c r="A47" s="430" t="inlineStr">
        <is>
          <t>Costa Rica</t>
        </is>
      </c>
      <c r="B47" s="120" t="inlineStr">
        <is>
          <t>B1</t>
        </is>
      </c>
      <c r="C47" s="119" t="n">
        <v>0.04904110980246301</v>
      </c>
      <c r="D47" s="119">
        <f>$B$1+E47</f>
        <v/>
      </c>
      <c r="E47" s="119" t="n">
        <v>0.06583472718442829</v>
      </c>
      <c r="F47" s="119" t="n">
        <v>0.3</v>
      </c>
    </row>
    <row r="48" ht="15.95" customHeight="1">
      <c r="A48" s="430" t="inlineStr">
        <is>
          <t>Croatia</t>
        </is>
      </c>
      <c r="B48" s="120" t="inlineStr">
        <is>
          <t>Baa2</t>
        </is>
      </c>
      <c r="C48" s="119" t="n">
        <v>0.02074323704438383</v>
      </c>
      <c r="D48" s="119">
        <f>$B$1+E48</f>
        <v/>
      </c>
      <c r="E48" s="119" t="n">
        <v>0.02784654256887045</v>
      </c>
      <c r="F48" s="119" t="n">
        <v>0.18</v>
      </c>
    </row>
    <row r="49" ht="15.95" customHeight="1">
      <c r="A49" s="430" t="inlineStr">
        <is>
          <t>Cuba</t>
        </is>
      </c>
      <c r="B49" s="120" t="inlineStr">
        <is>
          <t>Ca</t>
        </is>
      </c>
      <c r="C49" s="119" t="n">
        <v>0.1307336112488635</v>
      </c>
      <c r="D49" s="119">
        <f>$B$1+E49</f>
        <v/>
      </c>
      <c r="E49" s="119" t="n">
        <v>0.1755019750791156</v>
      </c>
      <c r="F49" s="119" t="n">
        <v>0.2853</v>
      </c>
    </row>
    <row r="50" ht="15.95" customHeight="1">
      <c r="A50" s="444" t="inlineStr">
        <is>
          <t>Curaçao</t>
        </is>
      </c>
      <c r="B50" s="120" t="inlineStr">
        <is>
          <t>Baa2</t>
        </is>
      </c>
      <c r="C50" s="119" t="n">
        <v>0.02074323704438383</v>
      </c>
      <c r="D50" s="119">
        <f>$B$1+E50</f>
        <v/>
      </c>
      <c r="E50" s="119" t="n">
        <v>0.02784654256887045</v>
      </c>
      <c r="F50" s="119" t="n">
        <v>0.22</v>
      </c>
    </row>
    <row r="51" ht="15.95" customHeight="1">
      <c r="A51" s="430" t="inlineStr">
        <is>
          <t>Cyprus</t>
        </is>
      </c>
      <c r="B51" s="120" t="inlineStr">
        <is>
          <t>Baa2</t>
        </is>
      </c>
      <c r="C51" s="119" t="n">
        <v>0.02074323704438383</v>
      </c>
      <c r="D51" s="119">
        <f>$B$1+E51</f>
        <v/>
      </c>
      <c r="E51" s="119" t="n">
        <v>0.02784654256887045</v>
      </c>
      <c r="F51" s="119" t="n">
        <v>0.125</v>
      </c>
    </row>
    <row r="52" ht="15.95" customHeight="1">
      <c r="A52" s="430" t="inlineStr">
        <is>
          <t>Czech Republic</t>
        </is>
      </c>
      <c r="B52" s="120" t="inlineStr">
        <is>
          <t>Aa3</t>
        </is>
      </c>
      <c r="C52" s="119" t="n">
        <v>0.006530278328787503</v>
      </c>
      <c r="D52" s="119">
        <f>$B$1+E52</f>
        <v/>
      </c>
      <c r="E52" s="119" t="n">
        <v>0.008766504142051809</v>
      </c>
      <c r="F52" s="119" t="n">
        <v>0.19</v>
      </c>
    </row>
    <row r="53" ht="15.95" customHeight="1">
      <c r="A53" s="430" t="inlineStr">
        <is>
          <t>Denmark</t>
        </is>
      </c>
      <c r="B53" s="120" t="inlineStr">
        <is>
          <t>Aaa</t>
        </is>
      </c>
      <c r="C53" s="119" t="n">
        <v>0</v>
      </c>
      <c r="D53" s="119">
        <f>$B$1+E53</f>
        <v/>
      </c>
      <c r="E53" s="119" t="n">
        <v>0</v>
      </c>
      <c r="F53" s="119" t="n">
        <v>0.22</v>
      </c>
    </row>
    <row r="54" ht="15.95" customHeight="1">
      <c r="A54" s="430" t="inlineStr">
        <is>
          <t>Dominican Republic</t>
        </is>
      </c>
      <c r="B54" s="120" t="inlineStr">
        <is>
          <t>Ba3</t>
        </is>
      </c>
      <c r="C54" s="119" t="n">
        <v>0.03918166997272502</v>
      </c>
      <c r="D54" s="119">
        <f>$B$1+E54</f>
        <v/>
      </c>
      <c r="E54" s="119" t="n">
        <v>0.05259902485231086</v>
      </c>
      <c r="F54" s="119" t="n">
        <v>0.27</v>
      </c>
    </row>
    <row r="55" ht="15.95" customHeight="1">
      <c r="A55" s="430" t="inlineStr">
        <is>
          <t>Ecuador</t>
        </is>
      </c>
      <c r="B55" s="120" t="inlineStr">
        <is>
          <t>Caa3</t>
        </is>
      </c>
      <c r="C55" s="119" t="n">
        <v>0.1089660168195719</v>
      </c>
      <c r="D55" s="119">
        <f>$B$1+E55</f>
        <v/>
      </c>
      <c r="E55" s="119" t="n">
        <v>0.1462802946056097</v>
      </c>
      <c r="F55" s="119" t="n">
        <v>0.25</v>
      </c>
    </row>
    <row r="56" ht="15.95" customHeight="1">
      <c r="A56" s="430" t="inlineStr">
        <is>
          <t>Egypt</t>
        </is>
      </c>
      <c r="B56" s="120" t="inlineStr">
        <is>
          <t>Caa1</t>
        </is>
      </c>
      <c r="C56" s="119" t="n">
        <v>0.08169250144640053</v>
      </c>
      <c r="D56" s="119">
        <f>$B$1+E56</f>
        <v/>
      </c>
      <c r="E56" s="119" t="n">
        <v>0.1096672478946873</v>
      </c>
      <c r="F56" s="119" t="n">
        <v>0.225</v>
      </c>
    </row>
    <row r="57" ht="15.95" customHeight="1">
      <c r="A57" s="430" t="inlineStr">
        <is>
          <t>El Salvador</t>
        </is>
      </c>
      <c r="B57" s="120" t="inlineStr">
        <is>
          <t>Caa3</t>
        </is>
      </c>
      <c r="C57" s="119" t="n">
        <v>0.1089660168195719</v>
      </c>
      <c r="D57" s="119">
        <f>$B$1+E57</f>
        <v/>
      </c>
      <c r="E57" s="119" t="n">
        <v>0.1462802946056097</v>
      </c>
      <c r="F57" s="119" t="n">
        <v>0.3</v>
      </c>
    </row>
    <row r="58" ht="15.95" customHeight="1">
      <c r="A58" s="430" t="inlineStr">
        <is>
          <t>Estonia</t>
        </is>
      </c>
      <c r="B58" s="120" t="inlineStr">
        <is>
          <t>A1</t>
        </is>
      </c>
      <c r="C58" s="119" t="n">
        <v>0.007682680386808828</v>
      </c>
      <c r="D58" s="119">
        <f>$B$1+E58</f>
        <v/>
      </c>
      <c r="E58" s="119" t="n">
        <v>0.01031353428476683</v>
      </c>
      <c r="F58" s="119" t="n">
        <v>0.2</v>
      </c>
    </row>
    <row r="59" ht="15.95" customHeight="1">
      <c r="A59" s="430" t="inlineStr">
        <is>
          <t>Ethiopia</t>
        </is>
      </c>
      <c r="B59" s="120" t="inlineStr">
        <is>
          <t>Caa2</t>
        </is>
      </c>
      <c r="C59" s="119" t="n">
        <v>0.09808221960492602</v>
      </c>
      <c r="D59" s="119">
        <f>$B$1+E59</f>
        <v/>
      </c>
      <c r="E59" s="119" t="n">
        <v>0.1316694543688566</v>
      </c>
      <c r="F59" s="119" t="n">
        <v>0.3</v>
      </c>
    </row>
    <row r="60" ht="15.95" customHeight="1">
      <c r="A60" s="430" t="inlineStr">
        <is>
          <t>Falkland Islands</t>
        </is>
      </c>
      <c r="B60" s="590" t="inlineStr">
        <is>
          <t>NR</t>
        </is>
      </c>
      <c r="C60" s="173" t="n">
        <v>0.04291508619362226</v>
      </c>
      <c r="D60" s="119">
        <f>$B$1+E60</f>
        <v/>
      </c>
      <c r="E60" s="173" t="n">
        <v>0.1036109105816249</v>
      </c>
      <c r="F60" s="173" t="n">
        <v>0.3159574942603002</v>
      </c>
    </row>
    <row r="61" ht="15.95" customHeight="1">
      <c r="A61" s="430" t="inlineStr">
        <is>
          <t>Fiji</t>
        </is>
      </c>
      <c r="B61" s="120" t="inlineStr">
        <is>
          <t>B1</t>
        </is>
      </c>
      <c r="C61" s="119" t="n">
        <v>0.04904110980246301</v>
      </c>
      <c r="D61" s="119">
        <f>$B$1+E61</f>
        <v/>
      </c>
      <c r="E61" s="119" t="n">
        <v>0.06583472718442829</v>
      </c>
      <c r="F61" s="119" t="n">
        <v>0.2</v>
      </c>
    </row>
    <row r="62" ht="15.95" customHeight="1">
      <c r="A62" s="430" t="inlineStr">
        <is>
          <t>Finland</t>
        </is>
      </c>
      <c r="B62" s="120" t="inlineStr">
        <is>
          <t>Aa1</t>
        </is>
      </c>
      <c r="C62" s="119" t="n">
        <v>0.004353518885858335</v>
      </c>
      <c r="D62" s="119">
        <f>$B$1+E62</f>
        <v/>
      </c>
      <c r="E62" s="119" t="n">
        <v>0.005844336094701204</v>
      </c>
      <c r="F62" s="119" t="n">
        <v>0.2</v>
      </c>
    </row>
    <row r="63" ht="15.95" customHeight="1">
      <c r="A63" s="430" t="inlineStr">
        <is>
          <t>France</t>
        </is>
      </c>
      <c r="B63" s="120" t="inlineStr">
        <is>
          <t>Aa2</t>
        </is>
      </c>
      <c r="C63" s="119" t="n">
        <v>0.005377876270766179</v>
      </c>
      <c r="D63" s="119">
        <f>$B$1+E63</f>
        <v/>
      </c>
      <c r="E63" s="119" t="n">
        <v>0.007219473999336784</v>
      </c>
      <c r="F63" s="119" t="n">
        <v>0.25</v>
      </c>
    </row>
    <row r="64" ht="15.95" customHeight="1">
      <c r="A64" s="430" t="inlineStr">
        <is>
          <t>French Guiana</t>
        </is>
      </c>
      <c r="B64" s="590" t="inlineStr">
        <is>
          <t>NR</t>
        </is>
      </c>
      <c r="C64" s="173" t="n">
        <v>0.04291508619362226</v>
      </c>
      <c r="D64" s="119">
        <f>$B$1+E64</f>
        <v/>
      </c>
      <c r="E64" s="173" t="n">
        <v>0.1036109105816249</v>
      </c>
      <c r="F64" s="173" t="n">
        <v>0.3159574942603002</v>
      </c>
    </row>
    <row r="65" ht="15.95" customHeight="1">
      <c r="A65" s="430" t="inlineStr">
        <is>
          <t>Gabon</t>
        </is>
      </c>
      <c r="B65" s="120" t="inlineStr">
        <is>
          <t>Caa1</t>
        </is>
      </c>
      <c r="C65" s="119" t="n">
        <v>0.08169250144640053</v>
      </c>
      <c r="D65" s="119">
        <f>$B$1+E65</f>
        <v/>
      </c>
      <c r="E65" s="119" t="n">
        <v>0.1096672478946873</v>
      </c>
      <c r="F65" s="119" t="n">
        <v>0.3</v>
      </c>
    </row>
    <row r="66" ht="15.95" customHeight="1">
      <c r="A66" s="615" t="inlineStr">
        <is>
          <t>Gambia</t>
        </is>
      </c>
      <c r="B66" s="120" t="inlineStr">
        <is>
          <t>NR</t>
        </is>
      </c>
      <c r="C66" s="119" t="n">
        <v>0.04904110980246301</v>
      </c>
      <c r="D66" s="119">
        <f>$B$1+E66</f>
        <v/>
      </c>
      <c r="E66" s="119" t="n">
        <v>0.06583472718442829</v>
      </c>
      <c r="F66" s="119" t="n">
        <v>0.31</v>
      </c>
    </row>
    <row r="67" ht="15.95" customHeight="1">
      <c r="A67" s="430" t="inlineStr">
        <is>
          <t>Georgia</t>
        </is>
      </c>
      <c r="B67" s="120" t="inlineStr">
        <is>
          <t>Ba2</t>
        </is>
      </c>
      <c r="C67" s="119" t="n">
        <v>0.032779436317051</v>
      </c>
      <c r="D67" s="119">
        <f>$B$1+E67</f>
        <v/>
      </c>
      <c r="E67" s="119" t="n">
        <v>0.0440044129483385</v>
      </c>
      <c r="F67" s="119" t="n">
        <v>0.15</v>
      </c>
    </row>
    <row r="68" ht="15.95" customHeight="1">
      <c r="A68" s="430" t="inlineStr">
        <is>
          <t>Germany</t>
        </is>
      </c>
      <c r="B68" s="120" t="inlineStr">
        <is>
          <t>Aaa</t>
        </is>
      </c>
      <c r="C68" s="119" t="n">
        <v>0</v>
      </c>
      <c r="D68" s="119">
        <f>$B$1+E68</f>
        <v/>
      </c>
      <c r="E68" s="119" t="n">
        <v>0</v>
      </c>
      <c r="F68" s="119" t="n">
        <v>0.3</v>
      </c>
    </row>
    <row r="69" ht="15.95" customHeight="1">
      <c r="A69" s="430" t="inlineStr">
        <is>
          <t>Ghana</t>
        </is>
      </c>
      <c r="B69" s="120" t="inlineStr">
        <is>
          <t>Caa3</t>
        </is>
      </c>
      <c r="C69" s="119" t="n">
        <v>0.1089660168195719</v>
      </c>
      <c r="D69" s="119">
        <f>$B$1+E69</f>
        <v/>
      </c>
      <c r="E69" s="119" t="n">
        <v>0.1462802946056097</v>
      </c>
      <c r="F69" s="119" t="n">
        <v>0.25</v>
      </c>
    </row>
    <row r="70" ht="15.95" customHeight="1">
      <c r="A70" s="430" t="inlineStr">
        <is>
          <t>Gibraltar</t>
        </is>
      </c>
      <c r="B70" s="590" t="inlineStr">
        <is>
          <t>NR</t>
        </is>
      </c>
      <c r="C70" s="173" t="n">
        <v>0.009588220147283357</v>
      </c>
      <c r="D70" s="119">
        <f>$B$1+E70</f>
        <v/>
      </c>
      <c r="E70" s="173" t="n">
        <v>0.05887160629364337</v>
      </c>
      <c r="F70" s="173" t="n">
        <v>0.2470734954341358</v>
      </c>
    </row>
    <row r="71" ht="15.95" customHeight="1">
      <c r="A71" s="430" t="inlineStr">
        <is>
          <t>Greece</t>
        </is>
      </c>
      <c r="B71" s="120" t="inlineStr">
        <is>
          <t>Ba1</t>
        </is>
      </c>
      <c r="C71" s="119" t="n">
        <v>0.02727351537317134</v>
      </c>
      <c r="D71" s="119">
        <f>$B$1+E71</f>
        <v/>
      </c>
      <c r="E71" s="119" t="n">
        <v>0.03661304671092226</v>
      </c>
      <c r="F71" s="119" t="n">
        <v>0.22</v>
      </c>
    </row>
    <row r="72" ht="15.95" customHeight="1">
      <c r="A72" s="430" t="inlineStr">
        <is>
          <t>Greenland</t>
        </is>
      </c>
      <c r="B72" s="590" t="inlineStr">
        <is>
          <t>NR</t>
        </is>
      </c>
      <c r="C72" s="173">
        <f>J72</f>
        <v/>
      </c>
      <c r="D72" s="119">
        <f>$B$1+E72</f>
        <v/>
      </c>
      <c r="E72" s="173">
        <f>H72</f>
        <v/>
      </c>
      <c r="F72" s="173">
        <f>K72</f>
        <v/>
      </c>
    </row>
    <row r="73" ht="15.95" customHeight="1">
      <c r="A73" s="430" t="inlineStr">
        <is>
          <t>Guatemala</t>
        </is>
      </c>
      <c r="B73" s="120" t="inlineStr">
        <is>
          <t>Ba1</t>
        </is>
      </c>
      <c r="C73" s="119" t="n">
        <v>0.02727351537317134</v>
      </c>
      <c r="D73" s="119">
        <f>$B$1+E73</f>
        <v/>
      </c>
      <c r="E73" s="119" t="n">
        <v>0.03661304671092226</v>
      </c>
      <c r="F73" s="119" t="n">
        <v>0.25</v>
      </c>
    </row>
    <row r="74" ht="15.95" customHeight="1">
      <c r="A74" s="430" t="inlineStr">
        <is>
          <t>Guernsey (States of)</t>
        </is>
      </c>
      <c r="B74" s="120" t="inlineStr">
        <is>
          <t>A1</t>
        </is>
      </c>
      <c r="C74" s="119" t="n">
        <v>0.007682680386808828</v>
      </c>
      <c r="D74" s="119">
        <f>$B$1+E74</f>
        <v/>
      </c>
      <c r="E74" s="119" t="n">
        <v>0.01031353428476683</v>
      </c>
      <c r="F74" s="119" t="n">
        <v>0</v>
      </c>
    </row>
    <row r="75" ht="15.95" customHeight="1">
      <c r="A75" s="616" t="inlineStr">
        <is>
          <t>Guinea</t>
        </is>
      </c>
      <c r="B75" s="120" t="inlineStr">
        <is>
          <t>NR</t>
        </is>
      </c>
      <c r="C75" s="119" t="n">
        <v>0.09808221960492602</v>
      </c>
      <c r="D75" s="119">
        <f>$B$1+E75</f>
        <v/>
      </c>
      <c r="E75" s="119" t="n">
        <v>0.1316694543688566</v>
      </c>
      <c r="F75" s="119" t="n">
        <v>0.2915</v>
      </c>
    </row>
    <row r="76" ht="15.95" customHeight="1">
      <c r="A76" s="615" t="inlineStr">
        <is>
          <t>Guinea-Bissau</t>
        </is>
      </c>
      <c r="B76" s="120" t="inlineStr">
        <is>
          <t>NR</t>
        </is>
      </c>
      <c r="C76" s="119" t="n">
        <v>0.05992490701710884</v>
      </c>
      <c r="D76" s="119">
        <f>$B$1+E76</f>
        <v/>
      </c>
      <c r="E76" s="119" t="n">
        <v>0.08044556742118129</v>
      </c>
      <c r="F76" s="119" t="n">
        <v>0.2915</v>
      </c>
    </row>
    <row r="77" ht="15.95" customHeight="1">
      <c r="A77" s="616" t="inlineStr">
        <is>
          <t>Guyana</t>
        </is>
      </c>
      <c r="B77" s="120" t="inlineStr">
        <is>
          <t>NR</t>
        </is>
      </c>
      <c r="C77" s="119" t="n">
        <v>0.01741407554343334</v>
      </c>
      <c r="D77" s="119">
        <f>$B$1+E77</f>
        <v/>
      </c>
      <c r="E77" s="119" t="n">
        <v>0.02337734437880483</v>
      </c>
      <c r="F77" s="119" t="n">
        <v>0.1864</v>
      </c>
    </row>
    <row r="78" ht="15.95" customHeight="1">
      <c r="A78" s="615" t="inlineStr">
        <is>
          <t>Haiti</t>
        </is>
      </c>
      <c r="B78" s="120" t="inlineStr">
        <is>
          <t>NR</t>
        </is>
      </c>
      <c r="C78" s="119" t="n">
        <v>0.1089660168195719</v>
      </c>
      <c r="D78" s="119">
        <f>$B$1+E78</f>
        <v/>
      </c>
      <c r="E78" s="119" t="n">
        <v>0.1462802946056097</v>
      </c>
      <c r="F78" s="119" t="n">
        <v>0.1864</v>
      </c>
    </row>
    <row r="79" ht="15.95" customHeight="1">
      <c r="A79" s="430" t="inlineStr">
        <is>
          <t>Honduras</t>
        </is>
      </c>
      <c r="B79" s="120" t="inlineStr">
        <is>
          <t>B1</t>
        </is>
      </c>
      <c r="C79" s="119" t="n">
        <v>0.04904110980246301</v>
      </c>
      <c r="D79" s="119">
        <f>$B$1+E79</f>
        <v/>
      </c>
      <c r="E79" s="119" t="n">
        <v>0.06583472718442829</v>
      </c>
      <c r="F79" s="119" t="n">
        <v>0.25</v>
      </c>
    </row>
    <row r="80" ht="15.95" customHeight="1">
      <c r="A80" s="430" t="inlineStr">
        <is>
          <t>Hong Kong</t>
        </is>
      </c>
      <c r="B80" s="120" t="inlineStr">
        <is>
          <t>Aa3</t>
        </is>
      </c>
      <c r="C80" s="119" t="n">
        <v>0.006530278328787503</v>
      </c>
      <c r="D80" s="119">
        <f>$B$1+E80</f>
        <v/>
      </c>
      <c r="E80" s="119" t="n">
        <v>0.008766504142051809</v>
      </c>
      <c r="F80" s="119" t="n">
        <v>0.165</v>
      </c>
    </row>
    <row r="81" ht="15.95" customHeight="1">
      <c r="A81" s="430" t="inlineStr">
        <is>
          <t>Hungary</t>
        </is>
      </c>
      <c r="B81" s="120" t="inlineStr">
        <is>
          <t>Baa2</t>
        </is>
      </c>
      <c r="C81" s="119" t="n">
        <v>0.02074323704438383</v>
      </c>
      <c r="D81" s="119">
        <f>$B$1+E81</f>
        <v/>
      </c>
      <c r="E81" s="119" t="n">
        <v>0.02784654256887045</v>
      </c>
      <c r="F81" s="119" t="n">
        <v>0.09</v>
      </c>
    </row>
    <row r="82" ht="15.95" customHeight="1">
      <c r="A82" s="430" t="inlineStr">
        <is>
          <t>Iceland</t>
        </is>
      </c>
      <c r="B82" s="120" t="inlineStr">
        <is>
          <t>A2</t>
        </is>
      </c>
      <c r="C82" s="119" t="n">
        <v>0.009219216464170593</v>
      </c>
      <c r="D82" s="119">
        <f>$B$1+E82</f>
        <v/>
      </c>
      <c r="E82" s="119" t="n">
        <v>0.0123762411417202</v>
      </c>
      <c r="F82" s="119" t="n">
        <v>0.2</v>
      </c>
    </row>
    <row r="83" ht="15.95" customHeight="1">
      <c r="A83" s="430" t="inlineStr">
        <is>
          <t>India</t>
        </is>
      </c>
      <c r="B83" s="120" t="inlineStr">
        <is>
          <t>Baa3</t>
        </is>
      </c>
      <c r="C83" s="119" t="n">
        <v>0.02394435387222085</v>
      </c>
      <c r="D83" s="119">
        <f>$B$1+E83</f>
        <v/>
      </c>
      <c r="E83" s="119" t="n">
        <v>0.03214384852085662</v>
      </c>
      <c r="F83" s="119" t="n">
        <v>0.3</v>
      </c>
    </row>
    <row r="84" ht="15.95" customHeight="1">
      <c r="A84" s="430" t="inlineStr">
        <is>
          <t>Indonesia</t>
        </is>
      </c>
      <c r="B84" s="120" t="inlineStr">
        <is>
          <t>Baa2</t>
        </is>
      </c>
      <c r="C84" s="119" t="n">
        <v>0.02074323704438383</v>
      </c>
      <c r="D84" s="119">
        <f>$B$1+E84</f>
        <v/>
      </c>
      <c r="E84" s="119" t="n">
        <v>0.02784654256887045</v>
      </c>
      <c r="F84" s="119" t="n">
        <v>0.22</v>
      </c>
    </row>
    <row r="85" ht="15.95" customHeight="1">
      <c r="A85" s="616" t="inlineStr">
        <is>
          <t>Iran</t>
        </is>
      </c>
      <c r="B85" s="120" t="inlineStr">
        <is>
          <t>NR</t>
        </is>
      </c>
      <c r="C85" s="119" t="n">
        <v>0.07080870423175468</v>
      </c>
      <c r="D85" s="119">
        <f>$B$1+E85</f>
        <v/>
      </c>
      <c r="E85" s="119" t="n">
        <v>0.09505640765793431</v>
      </c>
      <c r="F85" s="119" t="n">
        <v>0.2023</v>
      </c>
    </row>
    <row r="86" ht="15.95" customHeight="1">
      <c r="A86" s="430" t="inlineStr">
        <is>
          <t>Iraq</t>
        </is>
      </c>
      <c r="B86" s="120" t="inlineStr">
        <is>
          <t>Caa1</t>
        </is>
      </c>
      <c r="C86" s="119" t="n">
        <v>0.08169250144640053</v>
      </c>
      <c r="D86" s="119">
        <f>$B$1+E86</f>
        <v/>
      </c>
      <c r="E86" s="119" t="n">
        <v>0.1096672478946873</v>
      </c>
      <c r="F86" s="119" t="n">
        <v>0.15</v>
      </c>
    </row>
    <row r="87" ht="15.95" customHeight="1">
      <c r="A87" s="430" t="inlineStr">
        <is>
          <t>Ireland</t>
        </is>
      </c>
      <c r="B87" s="120" t="inlineStr">
        <is>
          <t>Aa3</t>
        </is>
      </c>
      <c r="C87" s="119" t="n">
        <v>0.006530278328787503</v>
      </c>
      <c r="D87" s="119">
        <f>$B$1+E87</f>
        <v/>
      </c>
      <c r="E87" s="119" t="n">
        <v>0.008766504142051809</v>
      </c>
      <c r="F87" s="119" t="n">
        <v>0.125</v>
      </c>
    </row>
    <row r="88" ht="15.95" customHeight="1">
      <c r="A88" s="430" t="inlineStr">
        <is>
          <t>Isle of Man</t>
        </is>
      </c>
      <c r="B88" s="120" t="inlineStr">
        <is>
          <t>Aa3</t>
        </is>
      </c>
      <c r="C88" s="119" t="n">
        <v>0.006530278328787503</v>
      </c>
      <c r="D88" s="119">
        <f>$B$1+E88</f>
        <v/>
      </c>
      <c r="E88" s="119" t="n">
        <v>0.008766504142051809</v>
      </c>
      <c r="F88" s="119" t="n">
        <v>0</v>
      </c>
    </row>
    <row r="89" ht="15.95" customHeight="1">
      <c r="A89" s="430" t="inlineStr">
        <is>
          <t>Israel</t>
        </is>
      </c>
      <c r="B89" s="120" t="inlineStr">
        <is>
          <t>A1</t>
        </is>
      </c>
      <c r="C89" s="119" t="n">
        <v>0.007682680386808828</v>
      </c>
      <c r="D89" s="119">
        <f>$B$1+E89</f>
        <v/>
      </c>
      <c r="E89" s="119" t="n">
        <v>0.01031353428476683</v>
      </c>
      <c r="F89" s="119" t="n">
        <v>0.23</v>
      </c>
    </row>
    <row r="90" ht="15.95" customHeight="1">
      <c r="A90" s="430" t="inlineStr">
        <is>
          <t>Italy</t>
        </is>
      </c>
      <c r="B90" s="120" t="inlineStr">
        <is>
          <t>Baa3</t>
        </is>
      </c>
      <c r="C90" s="119" t="n">
        <v>0.02394435387222085</v>
      </c>
      <c r="D90" s="119">
        <f>$B$1+E90</f>
        <v/>
      </c>
      <c r="E90" s="119" t="n">
        <v>0.03214384852085662</v>
      </c>
      <c r="F90" s="119" t="n">
        <v>0.24</v>
      </c>
    </row>
    <row r="91" ht="15.95" customHeight="1">
      <c r="A91" s="430" t="inlineStr">
        <is>
          <t>Ivory Coast</t>
        </is>
      </c>
      <c r="B91" s="120" t="inlineStr">
        <is>
          <t>Ba3</t>
        </is>
      </c>
      <c r="C91" s="119" t="n">
        <v>0.03918166997272502</v>
      </c>
      <c r="D91" s="119">
        <f>$B$1+E91</f>
        <v/>
      </c>
      <c r="E91" s="119" t="n">
        <v>0.05259902485231086</v>
      </c>
      <c r="F91" s="119" t="n">
        <v>0.25</v>
      </c>
    </row>
    <row r="92" ht="15.95" customHeight="1">
      <c r="A92" s="430" t="inlineStr">
        <is>
          <t>Jamaica</t>
        </is>
      </c>
      <c r="B92" s="120" t="inlineStr">
        <is>
          <t>B1</t>
        </is>
      </c>
      <c r="C92" s="119" t="n">
        <v>0.04904110980246301</v>
      </c>
      <c r="D92" s="119">
        <f>$B$1+E92</f>
        <v/>
      </c>
      <c r="E92" s="119" t="n">
        <v>0.06583472718442829</v>
      </c>
      <c r="F92" s="119" t="n">
        <v>0.25</v>
      </c>
    </row>
    <row r="93" ht="15.95" customHeight="1">
      <c r="A93" s="430" t="inlineStr">
        <is>
          <t>Japan</t>
        </is>
      </c>
      <c r="B93" s="120" t="inlineStr">
        <is>
          <t>A1</t>
        </is>
      </c>
      <c r="C93" s="119" t="n">
        <v>0.007682680386808828</v>
      </c>
      <c r="D93" s="119">
        <f>$B$1+E93</f>
        <v/>
      </c>
      <c r="E93" s="119" t="n">
        <v>0.01031353428476683</v>
      </c>
      <c r="F93" s="119" t="n">
        <v>0.3062</v>
      </c>
    </row>
    <row r="94" ht="15.95" customHeight="1">
      <c r="A94" s="430" t="inlineStr">
        <is>
          <t>Jersey (States of)</t>
        </is>
      </c>
      <c r="B94" s="120" t="inlineStr">
        <is>
          <t>Aa3</t>
        </is>
      </c>
      <c r="C94" s="119" t="n">
        <v>0.006530278328787503</v>
      </c>
      <c r="D94" s="119">
        <f>$B$1+E94</f>
        <v/>
      </c>
      <c r="E94" s="119" t="n">
        <v>0.008766504142051809</v>
      </c>
      <c r="F94" s="119" t="n">
        <v>0</v>
      </c>
    </row>
    <row r="95" ht="15.95" customHeight="1">
      <c r="A95" s="430" t="inlineStr">
        <is>
          <t>Jordan</t>
        </is>
      </c>
      <c r="B95" s="120" t="inlineStr">
        <is>
          <t>B1</t>
        </is>
      </c>
      <c r="C95" s="119" t="n">
        <v>0.04904110980246301</v>
      </c>
      <c r="D95" s="119">
        <f>$B$1+E95</f>
        <v/>
      </c>
      <c r="E95" s="119" t="n">
        <v>0.06583472718442829</v>
      </c>
      <c r="F95" s="119" t="n">
        <v>0.2</v>
      </c>
    </row>
    <row r="96" ht="15.95" customHeight="1">
      <c r="A96" s="430" t="inlineStr">
        <is>
          <t>Kazakhstan</t>
        </is>
      </c>
      <c r="B96" s="120" t="inlineStr">
        <is>
          <t>Baa2</t>
        </is>
      </c>
      <c r="C96" s="119" t="n">
        <v>0.02074323704438383</v>
      </c>
      <c r="D96" s="119">
        <f>$B$1+E96</f>
        <v/>
      </c>
      <c r="E96" s="119" t="n">
        <v>0.02784654256887045</v>
      </c>
      <c r="F96" s="119" t="n">
        <v>0.2</v>
      </c>
    </row>
    <row r="97" ht="15.95" customHeight="1">
      <c r="A97" s="430" t="inlineStr">
        <is>
          <t>Kenya</t>
        </is>
      </c>
      <c r="B97" s="120" t="inlineStr">
        <is>
          <t>B3</t>
        </is>
      </c>
      <c r="C97" s="119" t="n">
        <v>0.07080870423175468</v>
      </c>
      <c r="D97" s="119">
        <f>$B$1+E97</f>
        <v/>
      </c>
      <c r="E97" s="119" t="n">
        <v>0.09505640765793431</v>
      </c>
      <c r="F97" s="119" t="n">
        <v>0.3</v>
      </c>
    </row>
    <row r="98" ht="15.95" customHeight="1">
      <c r="A98" s="615" t="inlineStr">
        <is>
          <t>Korea, D.P.R.</t>
        </is>
      </c>
      <c r="B98" s="120" t="inlineStr">
        <is>
          <t>NR</t>
        </is>
      </c>
      <c r="C98" s="119" t="n">
        <v>0.175</v>
      </c>
      <c r="D98" s="119">
        <f>$B$1+E98</f>
        <v/>
      </c>
      <c r="E98" s="119" t="n">
        <v>0.2349269277078294</v>
      </c>
      <c r="F98" s="119" t="n">
        <v>0.231</v>
      </c>
    </row>
    <row r="99" ht="15.95" customHeight="1">
      <c r="A99" s="430" t="inlineStr">
        <is>
          <t>Kuwait</t>
        </is>
      </c>
      <c r="B99" s="120" t="inlineStr">
        <is>
          <t>A1</t>
        </is>
      </c>
      <c r="C99" s="119" t="n">
        <v>0.007682680386808828</v>
      </c>
      <c r="D99" s="119">
        <f>$B$1+E99</f>
        <v/>
      </c>
      <c r="E99" s="119" t="n">
        <v>0.01031353428476683</v>
      </c>
      <c r="F99" s="119" t="n">
        <v>0.15</v>
      </c>
    </row>
    <row r="100" ht="15.95" customHeight="1">
      <c r="A100" s="430" t="inlineStr">
        <is>
          <t>Kyrgyzstan</t>
        </is>
      </c>
      <c r="B100" s="120" t="inlineStr">
        <is>
          <t>B3</t>
        </is>
      </c>
      <c r="C100" s="119" t="n">
        <v>0.07080870423175468</v>
      </c>
      <c r="D100" s="119">
        <f>$B$1+E100</f>
        <v/>
      </c>
      <c r="E100" s="119" t="n">
        <v>0.09505640765793431</v>
      </c>
      <c r="F100" s="119" t="n">
        <v>0.1</v>
      </c>
    </row>
    <row r="101" ht="15.95" customHeight="1">
      <c r="A101" s="430" t="inlineStr">
        <is>
          <t>Laos</t>
        </is>
      </c>
      <c r="B101" s="120" t="inlineStr">
        <is>
          <t>Caa3</t>
        </is>
      </c>
      <c r="C101" s="119" t="n">
        <v>0.1089660168195719</v>
      </c>
      <c r="D101" s="119">
        <f>$B$1+E101</f>
        <v/>
      </c>
      <c r="E101" s="119" t="n">
        <v>0.1462802946056097</v>
      </c>
      <c r="F101" s="119" t="n">
        <v>0.2686</v>
      </c>
    </row>
    <row r="102" ht="15.95" customHeight="1">
      <c r="A102" s="430" t="inlineStr">
        <is>
          <t>Latvia</t>
        </is>
      </c>
      <c r="B102" s="120" t="inlineStr">
        <is>
          <t>A3</t>
        </is>
      </c>
      <c r="C102" s="119" t="n">
        <v>0.01306055665757501</v>
      </c>
      <c r="D102" s="119">
        <f>$B$1+E102</f>
        <v/>
      </c>
      <c r="E102" s="119" t="n">
        <v>0.01753300828410362</v>
      </c>
      <c r="F102" s="119" t="n">
        <v>0.2</v>
      </c>
    </row>
    <row r="103" ht="15.95" customHeight="1">
      <c r="A103" s="430" t="inlineStr">
        <is>
          <t>Lebanon</t>
        </is>
      </c>
      <c r="B103" s="120" t="inlineStr">
        <is>
          <t>C</t>
        </is>
      </c>
      <c r="C103" s="119" t="n">
        <v>0.175</v>
      </c>
      <c r="D103" s="119">
        <f>$B$1+E103</f>
        <v/>
      </c>
      <c r="E103" s="119" t="n">
        <v>0.2349269277078294</v>
      </c>
      <c r="F103" s="119" t="n">
        <v>0.17</v>
      </c>
    </row>
    <row r="104" ht="15.95" customHeight="1">
      <c r="A104" s="616" t="inlineStr">
        <is>
          <t>Liberia</t>
        </is>
      </c>
      <c r="B104" s="120" t="inlineStr">
        <is>
          <t>NR</t>
        </is>
      </c>
      <c r="C104" s="119" t="n">
        <v>0.1307336112488635</v>
      </c>
      <c r="D104" s="119">
        <f>$B$1+E104</f>
        <v/>
      </c>
      <c r="E104" s="119" t="n">
        <v>0.1755019750791156</v>
      </c>
      <c r="F104" s="119" t="n">
        <v>0.2915</v>
      </c>
    </row>
    <row r="105" ht="15.95" customHeight="1">
      <c r="A105" s="615" t="inlineStr">
        <is>
          <t>Libya</t>
        </is>
      </c>
      <c r="B105" s="120" t="inlineStr">
        <is>
          <t>NR</t>
        </is>
      </c>
      <c r="C105" s="119" t="n">
        <v>0.02074323704438383</v>
      </c>
      <c r="D105" s="119">
        <f>$B$1+E105</f>
        <v/>
      </c>
      <c r="E105" s="119" t="n">
        <v>0.02784654256887045</v>
      </c>
      <c r="F105" s="119" t="n">
        <v>0.2</v>
      </c>
    </row>
    <row r="106" ht="15.95" customHeight="1">
      <c r="A106" s="430" t="inlineStr">
        <is>
          <t>Liechtenstein</t>
        </is>
      </c>
      <c r="B106" s="120" t="inlineStr">
        <is>
          <t>Aaa</t>
        </is>
      </c>
      <c r="C106" s="119" t="n">
        <v>0</v>
      </c>
      <c r="D106" s="119">
        <f>$B$1+E106</f>
        <v/>
      </c>
      <c r="E106" s="119" t="n">
        <v>0</v>
      </c>
      <c r="F106" s="119" t="n">
        <v>0.125</v>
      </c>
    </row>
    <row r="107" ht="15.95" customHeight="1">
      <c r="A107" s="430" t="inlineStr">
        <is>
          <t>Lithuania</t>
        </is>
      </c>
      <c r="B107" s="120" t="inlineStr">
        <is>
          <t>A2</t>
        </is>
      </c>
      <c r="C107" s="119" t="n">
        <v>0.009219216464170593</v>
      </c>
      <c r="D107" s="119">
        <f>$B$1+E107</f>
        <v/>
      </c>
      <c r="E107" s="119" t="n">
        <v>0.0123762411417202</v>
      </c>
      <c r="F107" s="119" t="n">
        <v>0.15</v>
      </c>
    </row>
    <row r="108" ht="15.95" customHeight="1">
      <c r="A108" s="430" t="inlineStr">
        <is>
          <t>Luxembourg</t>
        </is>
      </c>
      <c r="B108" s="120" t="inlineStr">
        <is>
          <t>Aaa</t>
        </is>
      </c>
      <c r="C108" s="119" t="n">
        <v>0</v>
      </c>
      <c r="D108" s="119">
        <f>$B$1+E108</f>
        <v/>
      </c>
      <c r="E108" s="119" t="n">
        <v>0</v>
      </c>
      <c r="F108" s="119" t="n">
        <v>0.2494</v>
      </c>
    </row>
    <row r="109" ht="15.95" customHeight="1">
      <c r="A109" s="430" t="inlineStr">
        <is>
          <t>Macau</t>
        </is>
      </c>
      <c r="B109" s="120" t="inlineStr">
        <is>
          <t>Aa3</t>
        </is>
      </c>
      <c r="C109" s="119" t="n">
        <v>0.006530278328787503</v>
      </c>
      <c r="D109" s="119">
        <f>$B$1+E109</f>
        <v/>
      </c>
      <c r="E109" s="119" t="n">
        <v>0.008766504142051809</v>
      </c>
      <c r="F109" s="119" t="n">
        <v>0.2686</v>
      </c>
    </row>
    <row r="110" ht="15.95" customHeight="1">
      <c r="A110" s="430" t="inlineStr">
        <is>
          <t>Macedonia</t>
        </is>
      </c>
      <c r="B110" s="120" t="inlineStr">
        <is>
          <t>Ba3</t>
        </is>
      </c>
      <c r="C110" s="119" t="n">
        <v>0.03918166997272502</v>
      </c>
      <c r="D110" s="119">
        <f>$B$1+E110</f>
        <v/>
      </c>
      <c r="E110" s="119" t="n">
        <v>0.05259902485231086</v>
      </c>
      <c r="F110" s="119" t="n">
        <v>0.1</v>
      </c>
    </row>
    <row r="111" ht="15.95" customHeight="1">
      <c r="A111" s="616" t="inlineStr">
        <is>
          <t>Madagascar</t>
        </is>
      </c>
      <c r="B111" s="120" t="inlineStr">
        <is>
          <t>NR</t>
        </is>
      </c>
      <c r="C111" s="119" t="n">
        <v>0.07080870423175468</v>
      </c>
      <c r="D111" s="119">
        <f>$B$1+E111</f>
        <v/>
      </c>
      <c r="E111" s="119" t="n">
        <v>0.09505640765793431</v>
      </c>
      <c r="F111" s="119" t="n">
        <v>0.2</v>
      </c>
    </row>
    <row r="112" ht="15.95" customHeight="1">
      <c r="A112" s="615" t="inlineStr">
        <is>
          <t>Malawi</t>
        </is>
      </c>
      <c r="B112" s="120" t="inlineStr">
        <is>
          <t>NR</t>
        </is>
      </c>
      <c r="C112" s="119" t="n">
        <v>0.1307336112488635</v>
      </c>
      <c r="D112" s="119">
        <f>$B$1+E112</f>
        <v/>
      </c>
      <c r="E112" s="119" t="n">
        <v>0.1755019750791156</v>
      </c>
      <c r="F112" s="119" t="n">
        <v>0.3</v>
      </c>
    </row>
    <row r="113" ht="15.95" customHeight="1">
      <c r="A113" s="430" t="inlineStr">
        <is>
          <t>Malaysia</t>
        </is>
      </c>
      <c r="B113" s="120" t="inlineStr">
        <is>
          <t>A3</t>
        </is>
      </c>
      <c r="C113" s="119" t="n">
        <v>0.01306055665757501</v>
      </c>
      <c r="D113" s="119">
        <f>$B$1+E113</f>
        <v/>
      </c>
      <c r="E113" s="119" t="n">
        <v>0.01753300828410362</v>
      </c>
      <c r="F113" s="119" t="n">
        <v>0.24</v>
      </c>
    </row>
    <row r="114" ht="15.95" customHeight="1">
      <c r="A114" s="430" t="inlineStr">
        <is>
          <t>Maldives</t>
        </is>
      </c>
      <c r="B114" s="120" t="inlineStr">
        <is>
          <t>Caa1</t>
        </is>
      </c>
      <c r="C114" s="119" t="n">
        <v>0.08169250144640053</v>
      </c>
      <c r="D114" s="119">
        <f>$B$1+E114</f>
        <v/>
      </c>
      <c r="E114" s="119" t="n">
        <v>0.1096672478946873</v>
      </c>
      <c r="F114" s="119" t="n">
        <v>0.2686</v>
      </c>
    </row>
    <row r="115" ht="15.95" customHeight="1">
      <c r="A115" s="430" t="inlineStr">
        <is>
          <t>Mali</t>
        </is>
      </c>
      <c r="B115" s="120" t="inlineStr">
        <is>
          <t>Caa2</t>
        </is>
      </c>
      <c r="C115" s="119" t="n">
        <v>0.09808221960492602</v>
      </c>
      <c r="D115" s="119">
        <f>$B$1+E115</f>
        <v/>
      </c>
      <c r="E115" s="119" t="n">
        <v>0.1316694543688566</v>
      </c>
      <c r="F115" s="119" t="n">
        <v>0.2686</v>
      </c>
    </row>
    <row r="116" ht="15.95" customHeight="1">
      <c r="A116" s="430" t="inlineStr">
        <is>
          <t>Malta</t>
        </is>
      </c>
      <c r="B116" s="120" t="inlineStr">
        <is>
          <t>A2</t>
        </is>
      </c>
      <c r="C116" s="119" t="n">
        <v>0.009219216464170593</v>
      </c>
      <c r="D116" s="119">
        <f>$B$1+E116</f>
        <v/>
      </c>
      <c r="E116" s="119" t="n">
        <v>0.0123762411417202</v>
      </c>
      <c r="F116" s="119" t="n">
        <v>0.35</v>
      </c>
    </row>
    <row r="117" ht="15.95" customHeight="1">
      <c r="A117" s="430" t="inlineStr">
        <is>
          <t>Martinique</t>
        </is>
      </c>
      <c r="B117" s="590" t="inlineStr">
        <is>
          <t>NR</t>
        </is>
      </c>
      <c r="C117" s="173">
        <f>J117</f>
        <v/>
      </c>
      <c r="D117" s="119">
        <f>$B$1+E117</f>
        <v/>
      </c>
      <c r="E117" s="173">
        <f>H117</f>
        <v/>
      </c>
      <c r="F117" s="173">
        <f>K117</f>
        <v/>
      </c>
    </row>
    <row r="118" ht="15.95" customHeight="1">
      <c r="A118" s="430" t="inlineStr">
        <is>
          <t>Mauritius</t>
        </is>
      </c>
      <c r="B118" s="120" t="inlineStr">
        <is>
          <t>Baa3</t>
        </is>
      </c>
      <c r="C118" s="119" t="n">
        <v>0.02394435387222085</v>
      </c>
      <c r="D118" s="119">
        <f>$B$1+E118</f>
        <v/>
      </c>
      <c r="E118" s="119" t="n">
        <v>0.03214384852085662</v>
      </c>
      <c r="F118" s="119" t="n">
        <v>0.15</v>
      </c>
    </row>
    <row r="119" ht="15.95" customHeight="1">
      <c r="A119" s="430" t="inlineStr">
        <is>
          <t>Mexico</t>
        </is>
      </c>
      <c r="B119" s="120" t="inlineStr">
        <is>
          <t>Baa2</t>
        </is>
      </c>
      <c r="C119" s="119" t="n">
        <v>0.02074323704438383</v>
      </c>
      <c r="D119" s="119">
        <f>$B$1+E119</f>
        <v/>
      </c>
      <c r="E119" s="119" t="n">
        <v>0.02784654256887045</v>
      </c>
      <c r="F119" s="119" t="n">
        <v>0.3</v>
      </c>
    </row>
    <row r="120" ht="15.95" customHeight="1">
      <c r="A120" s="430" t="inlineStr">
        <is>
          <t>Monaco</t>
        </is>
      </c>
      <c r="B120" s="590" t="inlineStr">
        <is>
          <t>NR</t>
        </is>
      </c>
      <c r="C120" s="173" t="n">
        <v>0.009588220147283357</v>
      </c>
      <c r="D120" s="119">
        <f>$B$1+E120</f>
        <v/>
      </c>
      <c r="E120" s="173" t="n">
        <v>0.05887160629364337</v>
      </c>
      <c r="F120" s="173" t="n">
        <v>0.2470734954341358</v>
      </c>
    </row>
    <row r="121" ht="15.95" customHeight="1">
      <c r="A121" s="430" t="inlineStr">
        <is>
          <t>Moldova</t>
        </is>
      </c>
      <c r="B121" s="120" t="inlineStr">
        <is>
          <t>B3</t>
        </is>
      </c>
      <c r="C121" s="119" t="n">
        <v>0.07080870423175468</v>
      </c>
      <c r="D121" s="119">
        <f>$B$1+E121</f>
        <v/>
      </c>
      <c r="E121" s="119" t="n">
        <v>0.09505640765793431</v>
      </c>
      <c r="F121" s="119" t="n">
        <v>0.12</v>
      </c>
    </row>
    <row r="122" ht="15.95" customHeight="1">
      <c r="A122" s="430" t="inlineStr">
        <is>
          <t>Mongolia</t>
        </is>
      </c>
      <c r="B122" s="120" t="inlineStr">
        <is>
          <t>B3</t>
        </is>
      </c>
      <c r="C122" s="119" t="n">
        <v>0.07080870423175468</v>
      </c>
      <c r="D122" s="119">
        <f>$B$1+E122</f>
        <v/>
      </c>
      <c r="E122" s="119" t="n">
        <v>0.09505640765793431</v>
      </c>
      <c r="F122" s="119" t="n">
        <v>0.25</v>
      </c>
    </row>
    <row r="123" ht="15.95" customHeight="1">
      <c r="A123" s="430" t="inlineStr">
        <is>
          <t>Montenegro</t>
        </is>
      </c>
      <c r="B123" s="120" t="inlineStr">
        <is>
          <t>B1</t>
        </is>
      </c>
      <c r="C123" s="119" t="n">
        <v>0.04904110980246301</v>
      </c>
      <c r="D123" s="119">
        <f>$B$1+E123</f>
        <v/>
      </c>
      <c r="E123" s="119" t="n">
        <v>0.06583472718442829</v>
      </c>
      <c r="F123" s="119" t="n">
        <v>0.15</v>
      </c>
    </row>
    <row r="124" ht="15.95" customHeight="1">
      <c r="A124" s="430" t="inlineStr">
        <is>
          <t>Montserrat</t>
        </is>
      </c>
      <c r="B124" s="120" t="inlineStr">
        <is>
          <t>Baa3</t>
        </is>
      </c>
      <c r="C124" s="119" t="n">
        <v>0.02394435387222085</v>
      </c>
      <c r="D124" s="119">
        <f>$B$1+E124</f>
        <v/>
      </c>
      <c r="E124" s="119" t="n">
        <v>0.03214384852085662</v>
      </c>
      <c r="F124" s="119" t="n">
        <v>0.2853</v>
      </c>
    </row>
    <row r="125" ht="15.95" customHeight="1">
      <c r="A125" s="430" t="inlineStr">
        <is>
          <t>Morocco</t>
        </is>
      </c>
      <c r="B125" s="120" t="inlineStr">
        <is>
          <t>Ba1</t>
        </is>
      </c>
      <c r="C125" s="119" t="n">
        <v>0.02727351537317134</v>
      </c>
      <c r="D125" s="119">
        <f>$B$1+E125</f>
        <v/>
      </c>
      <c r="E125" s="119" t="n">
        <v>0.03661304671092226</v>
      </c>
      <c r="F125" s="119" t="n">
        <v>0.32</v>
      </c>
    </row>
    <row r="126" ht="15.95" customHeight="1">
      <c r="A126" s="430" t="inlineStr">
        <is>
          <t>Mozambique</t>
        </is>
      </c>
      <c r="B126" s="120" t="inlineStr">
        <is>
          <t>Caa2</t>
        </is>
      </c>
      <c r="C126" s="119" t="n">
        <v>0.09808221960492602</v>
      </c>
      <c r="D126" s="119">
        <f>$B$1+E126</f>
        <v/>
      </c>
      <c r="E126" s="119" t="n">
        <v>0.1316694543688566</v>
      </c>
      <c r="F126" s="119" t="n">
        <v>0.32</v>
      </c>
    </row>
    <row r="127" ht="15.95" customHeight="1">
      <c r="A127" s="616" t="inlineStr">
        <is>
          <t>Myanmar</t>
        </is>
      </c>
      <c r="B127" s="120" t="inlineStr">
        <is>
          <t>NR</t>
        </is>
      </c>
      <c r="C127" s="119" t="n">
        <v>0.1089660168195719</v>
      </c>
      <c r="D127" s="119">
        <f>$B$1+E127</f>
        <v/>
      </c>
      <c r="E127" s="119" t="n">
        <v>0.1462802946056097</v>
      </c>
      <c r="F127" s="119" t="n">
        <v>0.25</v>
      </c>
    </row>
    <row r="128" ht="15.95" customHeight="1">
      <c r="A128" s="430" t="inlineStr">
        <is>
          <t>Namibia</t>
        </is>
      </c>
      <c r="B128" s="120" t="inlineStr">
        <is>
          <t>B1</t>
        </is>
      </c>
      <c r="C128" s="119" t="n">
        <v>0.04904110980246301</v>
      </c>
      <c r="D128" s="119">
        <f>$B$1+E128</f>
        <v/>
      </c>
      <c r="E128" s="119" t="n">
        <v>0.06583472718442829</v>
      </c>
      <c r="F128" s="119" t="n">
        <v>0.32</v>
      </c>
    </row>
    <row r="129" ht="15.95" customHeight="1">
      <c r="A129" s="430" t="inlineStr">
        <is>
          <t>Netherlands</t>
        </is>
      </c>
      <c r="B129" s="120" t="inlineStr">
        <is>
          <t>Aaa</t>
        </is>
      </c>
      <c r="C129" s="119" t="n">
        <v>0</v>
      </c>
      <c r="D129" s="119">
        <f>$B$1+E129</f>
        <v/>
      </c>
      <c r="E129" s="119" t="n">
        <v>0</v>
      </c>
      <c r="F129" s="119" t="n">
        <v>0.258</v>
      </c>
    </row>
    <row r="130" ht="15.95" customHeight="1">
      <c r="A130" s="430" t="inlineStr">
        <is>
          <t>Netherlands Antilles</t>
        </is>
      </c>
      <c r="B130" s="590" t="inlineStr">
        <is>
          <t>NR</t>
        </is>
      </c>
      <c r="C130" s="173" t="n">
        <v>0.1054310997313879</v>
      </c>
      <c r="D130" s="119">
        <f>$B$1+E130</f>
        <v/>
      </c>
      <c r="E130" s="173" t="n">
        <v>0.1875348819700155</v>
      </c>
      <c r="F130" s="173" t="n">
        <v>0.2724561140242252</v>
      </c>
    </row>
    <row r="131" ht="15.95" customHeight="1">
      <c r="A131" s="430" t="inlineStr">
        <is>
          <t>New Zealand</t>
        </is>
      </c>
      <c r="B131" s="120" t="inlineStr">
        <is>
          <t>Aaa</t>
        </is>
      </c>
      <c r="C131" s="119" t="n">
        <v>0</v>
      </c>
      <c r="D131" s="119">
        <f>$B$1+E131</f>
        <v/>
      </c>
      <c r="E131" s="119" t="n">
        <v>0</v>
      </c>
      <c r="F131" s="119" t="n">
        <v>0.28</v>
      </c>
    </row>
    <row r="132" ht="15.95" customHeight="1">
      <c r="A132" s="430" t="inlineStr">
        <is>
          <t>Nicaragua</t>
        </is>
      </c>
      <c r="B132" s="120" t="inlineStr">
        <is>
          <t>B3</t>
        </is>
      </c>
      <c r="C132" s="119" t="n">
        <v>0.07080870423175468</v>
      </c>
      <c r="D132" s="119">
        <f>$B$1+E132</f>
        <v/>
      </c>
      <c r="E132" s="119" t="n">
        <v>0.09505640765793431</v>
      </c>
      <c r="F132" s="119" t="n">
        <v>0.3</v>
      </c>
    </row>
    <row r="133" ht="15.95" customHeight="1">
      <c r="A133" s="430" t="inlineStr">
        <is>
          <t>Niger</t>
        </is>
      </c>
      <c r="B133" s="120" t="inlineStr">
        <is>
          <t>Caa2</t>
        </is>
      </c>
      <c r="C133" s="119" t="n">
        <v>0.09808221960492602</v>
      </c>
      <c r="D133" s="119">
        <f>$B$1+E133</f>
        <v/>
      </c>
      <c r="E133" s="119" t="n">
        <v>0.1316694543688566</v>
      </c>
      <c r="F133" s="119" t="n">
        <v>0.2686</v>
      </c>
    </row>
    <row r="134" ht="15.95" customHeight="1">
      <c r="A134" s="430" t="inlineStr">
        <is>
          <t>Nigeria</t>
        </is>
      </c>
      <c r="B134" s="120" t="inlineStr">
        <is>
          <t>Caa1</t>
        </is>
      </c>
      <c r="C134" s="119" t="n">
        <v>0.08169250144640053</v>
      </c>
      <c r="D134" s="119">
        <f>$B$1+E134</f>
        <v/>
      </c>
      <c r="E134" s="119" t="n">
        <v>0.1096672478946873</v>
      </c>
      <c r="F134" s="119" t="n">
        <v>0.3</v>
      </c>
    </row>
    <row r="135" ht="15.95" customHeight="1">
      <c r="A135" s="430" t="inlineStr">
        <is>
          <t>Norway</t>
        </is>
      </c>
      <c r="B135" s="120" t="inlineStr">
        <is>
          <t>Aaa</t>
        </is>
      </c>
      <c r="C135" s="119" t="n">
        <v>0</v>
      </c>
      <c r="D135" s="119">
        <f>$B$1+E135</f>
        <v/>
      </c>
      <c r="E135" s="119" t="n">
        <v>0</v>
      </c>
      <c r="F135" s="119" t="n">
        <v>0.22</v>
      </c>
    </row>
    <row r="136" ht="15.95" customHeight="1">
      <c r="A136" s="430" t="inlineStr">
        <is>
          <t>Oman</t>
        </is>
      </c>
      <c r="B136" s="120" t="inlineStr">
        <is>
          <t>Ba1</t>
        </is>
      </c>
      <c r="C136" s="119" t="n">
        <v>0.02727351537317134</v>
      </c>
      <c r="D136" s="119">
        <f>$B$1+E136</f>
        <v/>
      </c>
      <c r="E136" s="119" t="n">
        <v>0.03661304671092226</v>
      </c>
      <c r="F136" s="119" t="n">
        <v>0.15</v>
      </c>
    </row>
    <row r="137" ht="15.95" customHeight="1">
      <c r="A137" s="430" t="inlineStr">
        <is>
          <t>Pakistan</t>
        </is>
      </c>
      <c r="B137" s="120" t="inlineStr">
        <is>
          <t>Caa3</t>
        </is>
      </c>
      <c r="C137" s="119" t="n">
        <v>0.1089660168195719</v>
      </c>
      <c r="D137" s="119">
        <f>$B$1+E137</f>
        <v/>
      </c>
      <c r="E137" s="119" t="n">
        <v>0.1462802946056097</v>
      </c>
      <c r="F137" s="119" t="n">
        <v>0.29</v>
      </c>
    </row>
    <row r="138" ht="15.95" customHeight="1">
      <c r="A138" s="430" t="inlineStr">
        <is>
          <t>Palestinian Authority</t>
        </is>
      </c>
      <c r="B138" s="590" t="inlineStr">
        <is>
          <t>NR</t>
        </is>
      </c>
      <c r="C138" s="173" t="n">
        <v>0.01608265362787447</v>
      </c>
      <c r="D138" s="119">
        <f>$B$1+E138</f>
        <v/>
      </c>
      <c r="E138" s="173" t="n">
        <v>0.06758999089248985</v>
      </c>
      <c r="F138" s="173" t="n">
        <v>0.1876015215361524</v>
      </c>
    </row>
    <row r="139" ht="15.95" customHeight="1">
      <c r="A139" s="430" t="inlineStr">
        <is>
          <t>Panama</t>
        </is>
      </c>
      <c r="B139" s="120" t="inlineStr">
        <is>
          <t>Baa2</t>
        </is>
      </c>
      <c r="C139" s="119" t="n">
        <v>0.02074323704438383</v>
      </c>
      <c r="D139" s="119">
        <f>$B$1+E139</f>
        <v/>
      </c>
      <c r="E139" s="119" t="n">
        <v>0.02784654256887045</v>
      </c>
      <c r="F139" s="119" t="n">
        <v>0.25</v>
      </c>
    </row>
    <row r="140" ht="15.95" customHeight="1">
      <c r="A140" s="430" t="inlineStr">
        <is>
          <t>Papua New Guinea</t>
        </is>
      </c>
      <c r="B140" s="120" t="inlineStr">
        <is>
          <t>B2</t>
        </is>
      </c>
      <c r="C140" s="119" t="n">
        <v>0.05992490701710886</v>
      </c>
      <c r="D140" s="119">
        <f>$B$1+E140</f>
        <v/>
      </c>
      <c r="E140" s="119" t="n">
        <v>0.08044556742118129</v>
      </c>
      <c r="F140" s="119" t="n">
        <v>0.3</v>
      </c>
    </row>
    <row r="141" ht="15.95" customHeight="1">
      <c r="A141" s="430" t="inlineStr">
        <is>
          <t>Paraguay</t>
        </is>
      </c>
      <c r="B141" s="120" t="inlineStr">
        <is>
          <t>Ba1</t>
        </is>
      </c>
      <c r="C141" s="119" t="n">
        <v>0.02727351537317134</v>
      </c>
      <c r="D141" s="119">
        <f>$B$1+E141</f>
        <v/>
      </c>
      <c r="E141" s="119" t="n">
        <v>0.03661304671092226</v>
      </c>
      <c r="F141" s="119" t="n">
        <v>0.1</v>
      </c>
    </row>
    <row r="142" ht="15.95" customHeight="1">
      <c r="A142" s="430" t="inlineStr">
        <is>
          <t>Peru</t>
        </is>
      </c>
      <c r="B142" s="120" t="inlineStr">
        <is>
          <t>Baa1</t>
        </is>
      </c>
      <c r="C142" s="119" t="n">
        <v>0.01741407554343334</v>
      </c>
      <c r="D142" s="119">
        <f>$B$1+E142</f>
        <v/>
      </c>
      <c r="E142" s="119" t="n">
        <v>0.02337734437880483</v>
      </c>
      <c r="F142" s="119" t="n">
        <v>0.295</v>
      </c>
    </row>
    <row r="143" ht="15.95" customHeight="1">
      <c r="A143" s="430" t="inlineStr">
        <is>
          <t>Philippines</t>
        </is>
      </c>
      <c r="B143" s="120" t="inlineStr">
        <is>
          <t>Baa2</t>
        </is>
      </c>
      <c r="C143" s="119" t="n">
        <v>0.02074323704438383</v>
      </c>
      <c r="D143" s="119">
        <f>$B$1+E143</f>
        <v/>
      </c>
      <c r="E143" s="119" t="n">
        <v>0.02784654256887045</v>
      </c>
      <c r="F143" s="119" t="n">
        <v>0.25</v>
      </c>
    </row>
    <row r="144" ht="15.95" customHeight="1">
      <c r="A144" s="430" t="inlineStr">
        <is>
          <t>Poland</t>
        </is>
      </c>
      <c r="B144" s="120" t="inlineStr">
        <is>
          <t>A2</t>
        </is>
      </c>
      <c r="C144" s="119" t="n">
        <v>0.009219216464170593</v>
      </c>
      <c r="D144" s="119">
        <f>$B$1+E144</f>
        <v/>
      </c>
      <c r="E144" s="119" t="n">
        <v>0.0123762411417202</v>
      </c>
      <c r="F144" s="119" t="n">
        <v>0.19</v>
      </c>
    </row>
    <row r="145" ht="15.95" customHeight="1">
      <c r="A145" s="430" t="inlineStr">
        <is>
          <t>Portugal</t>
        </is>
      </c>
      <c r="B145" s="120" t="inlineStr">
        <is>
          <t>A3</t>
        </is>
      </c>
      <c r="C145" s="119" t="n">
        <v>0.01306055665757501</v>
      </c>
      <c r="D145" s="119">
        <f>$B$1+E145</f>
        <v/>
      </c>
      <c r="E145" s="119" t="n">
        <v>0.01753300828410362</v>
      </c>
      <c r="F145" s="119" t="n">
        <v>0.21</v>
      </c>
    </row>
    <row r="146" ht="15.95" customHeight="1">
      <c r="A146" s="430" t="inlineStr">
        <is>
          <t>Qatar</t>
        </is>
      </c>
      <c r="B146" s="120" t="inlineStr">
        <is>
          <t>Aa3</t>
        </is>
      </c>
      <c r="C146" s="119" t="n">
        <v>0.006530278328787503</v>
      </c>
      <c r="D146" s="119">
        <f>$B$1+E146</f>
        <v/>
      </c>
      <c r="E146" s="119" t="n">
        <v>0.008766504142051809</v>
      </c>
      <c r="F146" s="119" t="n">
        <v>0.1</v>
      </c>
    </row>
    <row r="147" ht="15.95" customHeight="1">
      <c r="A147" s="430" t="inlineStr">
        <is>
          <t>Ras Al Khaimah (Emirate of)</t>
        </is>
      </c>
      <c r="B147" s="120" t="inlineStr">
        <is>
          <t>A3</t>
        </is>
      </c>
      <c r="C147" s="119" t="n">
        <v>0.01306055665757501</v>
      </c>
      <c r="D147" s="119">
        <f>$B$1+E147</f>
        <v/>
      </c>
      <c r="E147" s="119" t="n">
        <v>0.01753300828410362</v>
      </c>
      <c r="F147" s="119" t="n">
        <v>0</v>
      </c>
    </row>
    <row r="148" ht="15.95" customHeight="1">
      <c r="A148" s="430" t="inlineStr">
        <is>
          <t>Reunion</t>
        </is>
      </c>
      <c r="B148" s="590" t="inlineStr">
        <is>
          <t>NR</t>
        </is>
      </c>
      <c r="C148" s="173" t="n">
        <v>0.01251855589819318</v>
      </c>
      <c r="D148" s="119">
        <f>$B$1+E148</f>
        <v/>
      </c>
      <c r="E148" s="173" t="n">
        <v>0.06280540500857855</v>
      </c>
      <c r="F148" s="173" t="n">
        <v>0.2576437502455447</v>
      </c>
    </row>
    <row r="149" ht="15.95" customHeight="1">
      <c r="A149" s="430" t="inlineStr">
        <is>
          <t>Romania</t>
        </is>
      </c>
      <c r="B149" s="120" t="inlineStr">
        <is>
          <t>Baa3</t>
        </is>
      </c>
      <c r="C149" s="119" t="n">
        <v>0.02394435387222085</v>
      </c>
      <c r="D149" s="119">
        <f>$B$1+E149</f>
        <v/>
      </c>
      <c r="E149" s="119" t="n">
        <v>0.03214384852085662</v>
      </c>
      <c r="F149" s="119" t="n">
        <v>0.16</v>
      </c>
    </row>
    <row r="150" ht="15.95" customHeight="1">
      <c r="A150" s="430" t="inlineStr">
        <is>
          <t>Russia</t>
        </is>
      </c>
      <c r="B150" s="120" t="inlineStr">
        <is>
          <t>NR</t>
        </is>
      </c>
      <c r="C150" s="119" t="n">
        <v>0.04904110980246301</v>
      </c>
      <c r="D150" s="119">
        <f>$B$1+E150</f>
        <v/>
      </c>
      <c r="E150" s="119" t="n">
        <v>0.06583472718442829</v>
      </c>
      <c r="F150" s="119" t="n">
        <v>0.25</v>
      </c>
    </row>
    <row r="151" ht="15.95" customHeight="1">
      <c r="A151" s="430" t="inlineStr">
        <is>
          <t>Rwanda</t>
        </is>
      </c>
      <c r="B151" s="120" t="inlineStr">
        <is>
          <t>B2</t>
        </is>
      </c>
      <c r="C151" s="119" t="n">
        <v>0.05992490701710886</v>
      </c>
      <c r="D151" s="119">
        <f>$B$1+E151</f>
        <v/>
      </c>
      <c r="E151" s="119" t="n">
        <v>0.08044556742118129</v>
      </c>
      <c r="F151" s="119" t="n">
        <v>0.3</v>
      </c>
    </row>
    <row r="152" ht="15.95" customHeight="1">
      <c r="A152" s="430" t="inlineStr">
        <is>
          <t>Saint Lucia</t>
        </is>
      </c>
      <c r="B152" s="590" t="inlineStr">
        <is>
          <t>NR</t>
        </is>
      </c>
      <c r="C152" s="173" t="n">
        <v>0.1054310997313879</v>
      </c>
      <c r="D152" s="119">
        <f>$B$1+E152</f>
        <v/>
      </c>
      <c r="E152" s="173" t="n">
        <v>0.1875348819700155</v>
      </c>
      <c r="F152" s="173" t="n">
        <v>0.2724561140242252</v>
      </c>
    </row>
    <row r="153" ht="15.95" customHeight="1">
      <c r="A153" s="430" t="inlineStr">
        <is>
          <t>Saudi Arabia</t>
        </is>
      </c>
      <c r="B153" s="120" t="inlineStr">
        <is>
          <t>A1</t>
        </is>
      </c>
      <c r="C153" s="119" t="n">
        <v>0.007682680386808828</v>
      </c>
      <c r="D153" s="119">
        <f>$B$1+E153</f>
        <v/>
      </c>
      <c r="E153" s="119" t="n">
        <v>0.01031353428476683</v>
      </c>
      <c r="F153" s="119" t="n">
        <v>0.2</v>
      </c>
    </row>
    <row r="154" ht="15.95" customHeight="1">
      <c r="A154" s="430" t="inlineStr">
        <is>
          <t>Senegal</t>
        </is>
      </c>
      <c r="B154" s="120" t="inlineStr">
        <is>
          <t>Ba3</t>
        </is>
      </c>
      <c r="C154" s="119" t="n">
        <v>0.03918166997272502</v>
      </c>
      <c r="D154" s="119">
        <f>$B$1+E154</f>
        <v/>
      </c>
      <c r="E154" s="119" t="n">
        <v>0.05259902485231086</v>
      </c>
      <c r="F154" s="119" t="n">
        <v>0.3</v>
      </c>
    </row>
    <row r="155" ht="15.95" customHeight="1">
      <c r="A155" s="430" t="inlineStr">
        <is>
          <t>Serbia</t>
        </is>
      </c>
      <c r="B155" s="120" t="inlineStr">
        <is>
          <t>Ba2</t>
        </is>
      </c>
      <c r="C155" s="119" t="n">
        <v>0.032779436317051</v>
      </c>
      <c r="D155" s="119">
        <f>$B$1+E155</f>
        <v/>
      </c>
      <c r="E155" s="119" t="n">
        <v>0.0440044129483385</v>
      </c>
      <c r="F155" s="119" t="n">
        <v>0.15</v>
      </c>
    </row>
    <row r="156" ht="15.95" customHeight="1">
      <c r="A156" s="430" t="inlineStr">
        <is>
          <t>Sharjah</t>
        </is>
      </c>
      <c r="B156" s="120" t="inlineStr">
        <is>
          <t>Ba1</t>
        </is>
      </c>
      <c r="C156" s="119" t="n">
        <v>0.02727351537317134</v>
      </c>
      <c r="D156" s="119">
        <f>$B$1+E156</f>
        <v/>
      </c>
      <c r="E156" s="119" t="n">
        <v>0.03661304671092226</v>
      </c>
      <c r="F156" s="119" t="n">
        <v>0</v>
      </c>
    </row>
    <row r="157" ht="15.95" customHeight="1">
      <c r="A157" s="615" t="inlineStr">
        <is>
          <t>Sierra Leone</t>
        </is>
      </c>
      <c r="B157" s="120" t="inlineStr">
        <is>
          <t>NR</t>
        </is>
      </c>
      <c r="C157" s="119" t="n">
        <v>0.1089660168195719</v>
      </c>
      <c r="D157" s="119">
        <f>$B$1+E157</f>
        <v/>
      </c>
      <c r="E157" s="119" t="n">
        <v>0.1462802946056097</v>
      </c>
      <c r="F157" s="119" t="n">
        <v>0.3</v>
      </c>
    </row>
    <row r="158" ht="15.95" customHeight="1">
      <c r="A158" s="430" t="inlineStr">
        <is>
          <t>Singapore</t>
        </is>
      </c>
      <c r="B158" s="120" t="inlineStr">
        <is>
          <t>Aaa</t>
        </is>
      </c>
      <c r="C158" s="119" t="n">
        <v>0</v>
      </c>
      <c r="D158" s="119">
        <f>$B$1+E158</f>
        <v/>
      </c>
      <c r="E158" s="119" t="n">
        <v>0</v>
      </c>
      <c r="F158" s="119" t="n">
        <v>0.17</v>
      </c>
    </row>
    <row r="159" ht="15.95" customHeight="1">
      <c r="A159" s="430" t="inlineStr">
        <is>
          <t>Slovakia</t>
        </is>
      </c>
      <c r="B159" s="120" t="inlineStr">
        <is>
          <t>A2</t>
        </is>
      </c>
      <c r="C159" s="119" t="n">
        <v>0.009219216464170593</v>
      </c>
      <c r="D159" s="119">
        <f>$B$1+E159</f>
        <v/>
      </c>
      <c r="E159" s="119" t="n">
        <v>0.0123762411417202</v>
      </c>
      <c r="F159" s="119" t="n">
        <v>0.21</v>
      </c>
    </row>
    <row r="160" ht="15.95" customHeight="1">
      <c r="A160" s="430" t="inlineStr">
        <is>
          <t>Slovenia</t>
        </is>
      </c>
      <c r="B160" s="120" t="inlineStr">
        <is>
          <t>A3</t>
        </is>
      </c>
      <c r="C160" s="119" t="n">
        <v>0.01306055665757501</v>
      </c>
      <c r="D160" s="119">
        <f>$B$1+E160</f>
        <v/>
      </c>
      <c r="E160" s="119" t="n">
        <v>0.01753300828410362</v>
      </c>
      <c r="F160" s="119" t="n">
        <v>0.19</v>
      </c>
    </row>
    <row r="161" ht="15.95" customHeight="1">
      <c r="A161" s="430" t="inlineStr">
        <is>
          <t>Solomon Islands</t>
        </is>
      </c>
      <c r="B161" s="120" t="inlineStr">
        <is>
          <t>Caa1</t>
        </is>
      </c>
      <c r="C161" s="119" t="n">
        <v>0.08169250144640053</v>
      </c>
      <c r="D161" s="119">
        <f>$B$1+E161</f>
        <v/>
      </c>
      <c r="E161" s="119" t="n">
        <v>0.1096672478946873</v>
      </c>
      <c r="F161" s="119" t="n">
        <v>0.3</v>
      </c>
    </row>
    <row r="162" ht="15.95" customHeight="1">
      <c r="A162" s="616" t="inlineStr">
        <is>
          <t>Somalia</t>
        </is>
      </c>
      <c r="B162" s="120" t="inlineStr">
        <is>
          <t>NR</t>
        </is>
      </c>
      <c r="C162" s="119" t="n">
        <v>0.1307336112488635</v>
      </c>
      <c r="D162" s="119">
        <f>$B$1+E162</f>
        <v/>
      </c>
      <c r="E162" s="119" t="n">
        <v>0.1755019750791156</v>
      </c>
      <c r="F162" s="119" t="n">
        <v>0.2915</v>
      </c>
    </row>
    <row r="163" ht="15.95" customHeight="1">
      <c r="A163" s="430" t="inlineStr">
        <is>
          <t>South Africa</t>
        </is>
      </c>
      <c r="B163" s="120" t="inlineStr">
        <is>
          <t>Ba2</t>
        </is>
      </c>
      <c r="C163" s="119" t="n">
        <v>0.032779436317051</v>
      </c>
      <c r="D163" s="119">
        <f>$B$1+E163</f>
        <v/>
      </c>
      <c r="E163" s="119" t="n">
        <v>0.0440044129483385</v>
      </c>
      <c r="F163" s="119" t="n">
        <v>0.27</v>
      </c>
    </row>
    <row r="164" ht="15.95" customHeight="1">
      <c r="A164" s="430" t="inlineStr">
        <is>
          <t>South Korea</t>
        </is>
      </c>
      <c r="B164" s="120" t="inlineStr">
        <is>
          <t>Aa2</t>
        </is>
      </c>
      <c r="C164" s="119" t="n">
        <v>0.005377876270766179</v>
      </c>
      <c r="D164" s="119">
        <f>$B$1+E164</f>
        <v/>
      </c>
      <c r="E164" s="119" t="n">
        <v>0.007219473999336784</v>
      </c>
      <c r="F164" s="119" t="n">
        <v>0.25</v>
      </c>
    </row>
    <row r="165" ht="15.95" customHeight="1">
      <c r="A165" s="430" t="inlineStr">
        <is>
          <t>Spain</t>
        </is>
      </c>
      <c r="B165" s="120" t="inlineStr">
        <is>
          <t>Baa1</t>
        </is>
      </c>
      <c r="C165" s="119" t="n">
        <v>0.01741407554343334</v>
      </c>
      <c r="D165" s="119">
        <f>$B$1+E165</f>
        <v/>
      </c>
      <c r="E165" s="119" t="n">
        <v>0.02337734437880483</v>
      </c>
      <c r="F165" s="119" t="n">
        <v>0.25</v>
      </c>
    </row>
    <row r="166" ht="15.95" customHeight="1">
      <c r="A166" s="430" t="inlineStr">
        <is>
          <t>Sri Lanka</t>
        </is>
      </c>
      <c r="B166" s="120" t="inlineStr">
        <is>
          <t>Ca</t>
        </is>
      </c>
      <c r="C166" s="119" t="n">
        <v>0.1307336112488635</v>
      </c>
      <c r="D166" s="119">
        <f>$B$1+E166</f>
        <v/>
      </c>
      <c r="E166" s="119" t="n">
        <v>0.1755019750791156</v>
      </c>
      <c r="F166" s="119" t="n">
        <v>0.24</v>
      </c>
    </row>
    <row r="167" ht="15.95" customHeight="1">
      <c r="A167" s="430" t="inlineStr">
        <is>
          <t>St. Maarten</t>
        </is>
      </c>
      <c r="B167" s="120" t="inlineStr">
        <is>
          <t>Ba2</t>
        </is>
      </c>
      <c r="C167" s="119" t="n">
        <v>0.032779436317051</v>
      </c>
      <c r="D167" s="119">
        <f>$B$1+E167</f>
        <v/>
      </c>
      <c r="E167" s="119" t="n">
        <v>0.0440044129483385</v>
      </c>
      <c r="F167" s="119" t="n">
        <v>0.2853</v>
      </c>
    </row>
    <row r="168" ht="15.95" customHeight="1">
      <c r="A168" s="430" t="inlineStr">
        <is>
          <t>St. Vincent &amp; the Grenadines</t>
        </is>
      </c>
      <c r="B168" s="120" t="inlineStr">
        <is>
          <t>B3</t>
        </is>
      </c>
      <c r="C168" s="119" t="n">
        <v>0.07080870423175468</v>
      </c>
      <c r="D168" s="119">
        <f>$B$1+E168</f>
        <v/>
      </c>
      <c r="E168" s="119" t="n">
        <v>0.09505640765793431</v>
      </c>
      <c r="F168" s="119" t="n">
        <v>0.2853</v>
      </c>
    </row>
    <row r="169" ht="15.95" customHeight="1">
      <c r="A169" s="615" t="inlineStr">
        <is>
          <t>Sudan</t>
        </is>
      </c>
      <c r="B169" s="120" t="inlineStr">
        <is>
          <t>NR</t>
        </is>
      </c>
      <c r="C169" s="119" t="n">
        <v>0.175</v>
      </c>
      <c r="D169" s="119">
        <f>$B$1+E169</f>
        <v/>
      </c>
      <c r="E169" s="119" t="n">
        <v>0.2349269277078294</v>
      </c>
      <c r="F169" s="119" t="n">
        <v>0.35</v>
      </c>
    </row>
    <row r="170" ht="15.95" customHeight="1">
      <c r="A170" s="430" t="inlineStr">
        <is>
          <t>Suriname</t>
        </is>
      </c>
      <c r="B170" s="120" t="inlineStr">
        <is>
          <t>Caa3</t>
        </is>
      </c>
      <c r="C170" s="119" t="n">
        <v>0.1089660168195719</v>
      </c>
      <c r="D170" s="119">
        <f>$B$1+E170</f>
        <v/>
      </c>
      <c r="E170" s="119" t="n">
        <v>0.1462802946056097</v>
      </c>
      <c r="F170" s="119" t="n">
        <v>0.36</v>
      </c>
    </row>
    <row r="171" ht="15.95" customHeight="1">
      <c r="A171" s="430" t="inlineStr">
        <is>
          <t>Swaziland</t>
        </is>
      </c>
      <c r="B171" s="120" t="inlineStr">
        <is>
          <t>B3</t>
        </is>
      </c>
      <c r="C171" s="119" t="n">
        <v>0.07080870423175468</v>
      </c>
      <c r="D171" s="119">
        <f>$B$1+E171</f>
        <v/>
      </c>
      <c r="E171" s="119" t="n">
        <v>0.09505640765793431</v>
      </c>
      <c r="F171" s="119" t="n">
        <v>0.275</v>
      </c>
    </row>
    <row r="172" ht="15.95" customHeight="1">
      <c r="A172" s="430" t="inlineStr">
        <is>
          <t>Sweden</t>
        </is>
      </c>
      <c r="B172" s="120" t="inlineStr">
        <is>
          <t>Aaa</t>
        </is>
      </c>
      <c r="C172" s="119" t="n">
        <v>0</v>
      </c>
      <c r="D172" s="119">
        <f>$B$1+E172</f>
        <v/>
      </c>
      <c r="E172" s="119" t="n">
        <v>0</v>
      </c>
      <c r="F172" s="119" t="n">
        <v>0.206</v>
      </c>
    </row>
    <row r="173" ht="15.95" customHeight="1">
      <c r="A173" s="430" t="inlineStr">
        <is>
          <t>Switzerland</t>
        </is>
      </c>
      <c r="B173" s="120" t="inlineStr">
        <is>
          <t>Aaa</t>
        </is>
      </c>
      <c r="C173" s="119" t="n">
        <v>0</v>
      </c>
      <c r="D173" s="119">
        <f>$B$1+E173</f>
        <v/>
      </c>
      <c r="E173" s="119" t="n">
        <v>0</v>
      </c>
      <c r="F173" s="119" t="n">
        <v>0.146</v>
      </c>
    </row>
    <row r="174" ht="15.95" customHeight="1">
      <c r="A174" s="616" t="inlineStr">
        <is>
          <t>Syria</t>
        </is>
      </c>
      <c r="B174" s="120" t="inlineStr">
        <is>
          <t>NR</t>
        </is>
      </c>
      <c r="C174" s="119" t="n">
        <v>0.175</v>
      </c>
      <c r="D174" s="119">
        <f>$B$1+E174</f>
        <v/>
      </c>
      <c r="E174" s="119" t="n">
        <v>0.2349269277078294</v>
      </c>
      <c r="F174" s="119" t="n">
        <v>0.28</v>
      </c>
    </row>
    <row r="175" ht="15.95" customHeight="1">
      <c r="A175" s="430" t="inlineStr">
        <is>
          <t>Taiwan</t>
        </is>
      </c>
      <c r="B175" s="120" t="inlineStr">
        <is>
          <t>Aa3</t>
        </is>
      </c>
      <c r="C175" s="119" t="n">
        <v>0.006530278328787503</v>
      </c>
      <c r="D175" s="119">
        <f>$B$1+E175</f>
        <v/>
      </c>
      <c r="E175" s="119" t="n">
        <v>0.008766504142051809</v>
      </c>
      <c r="F175" s="119" t="n">
        <v>0.2</v>
      </c>
    </row>
    <row r="176" ht="15.95" customHeight="1">
      <c r="A176" s="430" t="inlineStr">
        <is>
          <t>Tajikistan</t>
        </is>
      </c>
      <c r="B176" s="120" t="inlineStr">
        <is>
          <t>B3</t>
        </is>
      </c>
      <c r="C176" s="119" t="n">
        <v>0.07080870423175468</v>
      </c>
      <c r="D176" s="119">
        <f>$B$1+E176</f>
        <v/>
      </c>
      <c r="E176" s="119" t="n">
        <v>0.09505640765793431</v>
      </c>
      <c r="F176" s="119" t="n">
        <v>0.18</v>
      </c>
    </row>
    <row r="177" ht="15.95" customHeight="1">
      <c r="A177" s="430" t="inlineStr">
        <is>
          <t>Tanzania</t>
        </is>
      </c>
      <c r="B177" s="120" t="inlineStr">
        <is>
          <t>B2</t>
        </is>
      </c>
      <c r="C177" s="119" t="n">
        <v>0.05992490701710886</v>
      </c>
      <c r="D177" s="119">
        <f>$B$1+E177</f>
        <v/>
      </c>
      <c r="E177" s="119" t="n">
        <v>0.08044556742118129</v>
      </c>
      <c r="F177" s="119" t="n">
        <v>0.3</v>
      </c>
    </row>
    <row r="178" ht="15.95" customHeight="1">
      <c r="A178" s="430" t="inlineStr">
        <is>
          <t>Thailand</t>
        </is>
      </c>
      <c r="B178" s="120" t="inlineStr">
        <is>
          <t>Baa1</t>
        </is>
      </c>
      <c r="C178" s="119" t="n">
        <v>0.01741407554343334</v>
      </c>
      <c r="D178" s="119">
        <f>$B$1+E178</f>
        <v/>
      </c>
      <c r="E178" s="119" t="n">
        <v>0.02337734437880483</v>
      </c>
      <c r="F178" s="119" t="n">
        <v>0.2</v>
      </c>
    </row>
    <row r="179" ht="15.95" customHeight="1">
      <c r="A179" s="430" t="inlineStr">
        <is>
          <t>Togo</t>
        </is>
      </c>
      <c r="B179" s="120" t="inlineStr">
        <is>
          <t>B3</t>
        </is>
      </c>
      <c r="C179" s="119" t="n">
        <v>0.07080870423175468</v>
      </c>
      <c r="D179" s="119">
        <f>$B$1+E179</f>
        <v/>
      </c>
      <c r="E179" s="119" t="n">
        <v>0.09505640765793431</v>
      </c>
      <c r="F179" s="119" t="n">
        <v>0.2686</v>
      </c>
    </row>
    <row r="180" ht="15.95" customHeight="1">
      <c r="A180" s="430" t="inlineStr">
        <is>
          <t>Trinidad &amp;' Tobago</t>
        </is>
      </c>
      <c r="B180" s="120" t="inlineStr">
        <is>
          <t>Ba2</t>
        </is>
      </c>
      <c r="C180" s="119" t="n">
        <v>0.032779436317051</v>
      </c>
      <c r="D180" s="119">
        <f>$B$1+E180</f>
        <v/>
      </c>
      <c r="E180" s="119" t="n">
        <v>0.0440044129483385</v>
      </c>
      <c r="F180" s="119" t="n">
        <v>0.3</v>
      </c>
    </row>
    <row r="181" ht="15.95" customHeight="1">
      <c r="A181" s="430" t="inlineStr">
        <is>
          <t>Tunisia</t>
        </is>
      </c>
      <c r="B181" s="120" t="inlineStr">
        <is>
          <t>Caa2</t>
        </is>
      </c>
      <c r="C181" s="119" t="n">
        <v>0.09808221960492602</v>
      </c>
      <c r="D181" s="119">
        <f>$B$1+E181</f>
        <v/>
      </c>
      <c r="E181" s="119" t="n">
        <v>0.1316694543688566</v>
      </c>
      <c r="F181" s="119" t="n">
        <v>0.15</v>
      </c>
    </row>
    <row r="182" ht="15.95" customHeight="1">
      <c r="A182" s="430" t="inlineStr">
        <is>
          <t>Turkey</t>
        </is>
      </c>
      <c r="B182" s="120" t="inlineStr">
        <is>
          <t>B3</t>
        </is>
      </c>
      <c r="C182" s="119" t="n">
        <v>0.07080870423175468</v>
      </c>
      <c r="D182" s="119">
        <f>$B$1+E182</f>
        <v/>
      </c>
      <c r="E182" s="119" t="n">
        <v>0.09505640765793431</v>
      </c>
      <c r="F182" s="119" t="n">
        <v>0.25</v>
      </c>
    </row>
    <row r="183" ht="15.95" customHeight="1">
      <c r="A183" s="431" t="inlineStr">
        <is>
          <t>Turks &amp; Caicos Islands</t>
        </is>
      </c>
      <c r="B183" s="120" t="inlineStr">
        <is>
          <t>Baa1</t>
        </is>
      </c>
      <c r="C183" s="119" t="n">
        <v>0.01741407554343334</v>
      </c>
      <c r="D183" s="119">
        <f>$B$1+E183</f>
        <v/>
      </c>
      <c r="E183" s="119" t="n">
        <v>0.02337734437880483</v>
      </c>
      <c r="F183" s="119" t="n">
        <v>0</v>
      </c>
    </row>
    <row r="184" ht="15.95" customHeight="1">
      <c r="A184" s="430" t="inlineStr">
        <is>
          <t>Uganda</t>
        </is>
      </c>
      <c r="B184" s="120" t="inlineStr">
        <is>
          <t>B2</t>
        </is>
      </c>
      <c r="C184" s="119" t="n">
        <v>0.05992490701710886</v>
      </c>
      <c r="D184" s="119">
        <f>$B$1+E184</f>
        <v/>
      </c>
      <c r="E184" s="119" t="n">
        <v>0.08044556742118129</v>
      </c>
      <c r="F184" s="119" t="n">
        <v>0.3</v>
      </c>
    </row>
    <row r="185" ht="15.95" customHeight="1">
      <c r="A185" s="430" t="inlineStr">
        <is>
          <t>Ukraine</t>
        </is>
      </c>
      <c r="B185" s="120" t="inlineStr">
        <is>
          <t>Ca</t>
        </is>
      </c>
      <c r="C185" s="119" t="n">
        <v>0.1307336112488635</v>
      </c>
      <c r="D185" s="119">
        <f>$B$1+E185</f>
        <v/>
      </c>
      <c r="E185" s="119" t="n">
        <v>0.1755019750791156</v>
      </c>
      <c r="F185" s="119" t="n">
        <v>0.18</v>
      </c>
    </row>
    <row r="186" ht="15.95" customHeight="1">
      <c r="A186" s="430" t="inlineStr">
        <is>
          <t>United Arab Emirates</t>
        </is>
      </c>
      <c r="B186" s="120" t="inlineStr">
        <is>
          <t>Aa2</t>
        </is>
      </c>
      <c r="C186" s="119" t="n">
        <v>0.005377876270766179</v>
      </c>
      <c r="D186" s="119">
        <f>$B$1+E186</f>
        <v/>
      </c>
      <c r="E186" s="119" t="n">
        <v>0.007219473999336784</v>
      </c>
      <c r="F186" s="119" t="n">
        <v>0.25</v>
      </c>
    </row>
    <row r="187" ht="15.95" customHeight="1">
      <c r="A187" s="430" t="inlineStr">
        <is>
          <t>United Kingdom</t>
        </is>
      </c>
      <c r="B187" s="120" t="inlineStr">
        <is>
          <t>Aa3</t>
        </is>
      </c>
      <c r="C187" s="119" t="n">
        <v>0.006530278328787503</v>
      </c>
      <c r="D187" s="119">
        <f>$B$1+E187</f>
        <v/>
      </c>
      <c r="E187" s="119" t="n">
        <v>0.008766504142051809</v>
      </c>
      <c r="F187" s="119" t="n">
        <v>0.25</v>
      </c>
    </row>
    <row r="188" ht="15.95" customHeight="1">
      <c r="A188" s="430" t="inlineStr">
        <is>
          <t>United States</t>
        </is>
      </c>
      <c r="B188" s="120" t="inlineStr">
        <is>
          <t>Aaa</t>
        </is>
      </c>
      <c r="C188" s="119" t="n">
        <v>0</v>
      </c>
      <c r="D188" s="119">
        <f>$B$1+E188</f>
        <v/>
      </c>
      <c r="E188" s="119" t="n">
        <v>0</v>
      </c>
      <c r="F188" s="119" t="n">
        <v>0.25</v>
      </c>
    </row>
    <row r="189" ht="15.95" customHeight="1">
      <c r="A189" s="430" t="inlineStr">
        <is>
          <t>Uruguay</t>
        </is>
      </c>
      <c r="B189" s="120" t="inlineStr">
        <is>
          <t>Baa2</t>
        </is>
      </c>
      <c r="C189" s="119" t="n">
        <v>0.02074323704438383</v>
      </c>
      <c r="D189" s="119">
        <f>$B$1+E189</f>
        <v/>
      </c>
      <c r="E189" s="119" t="n">
        <v>0.02784654256887045</v>
      </c>
      <c r="F189" s="119" t="n">
        <v>0.25</v>
      </c>
    </row>
    <row r="190" ht="15.95" customHeight="1">
      <c r="A190" s="430" t="inlineStr">
        <is>
          <t>Uzbekistan</t>
        </is>
      </c>
      <c r="B190" s="120" t="inlineStr">
        <is>
          <t>Ba3</t>
        </is>
      </c>
      <c r="C190" s="119" t="n">
        <v>0.03918166997272502</v>
      </c>
      <c r="D190" s="119">
        <f>$B$1+E190</f>
        <v/>
      </c>
      <c r="E190" s="119" t="n">
        <v>0.05259902485231086</v>
      </c>
      <c r="F190" s="119" t="n">
        <v>0.15</v>
      </c>
    </row>
    <row r="191" ht="15.95" customHeight="1">
      <c r="A191" s="430" t="inlineStr">
        <is>
          <t>Venezuela</t>
        </is>
      </c>
      <c r="B191" s="120" t="inlineStr">
        <is>
          <t>C</t>
        </is>
      </c>
      <c r="C191" s="119" t="n">
        <v>0.175</v>
      </c>
      <c r="D191" s="119">
        <f>$B$1+E191</f>
        <v/>
      </c>
      <c r="E191" s="119" t="n">
        <v>0.2349269277078294</v>
      </c>
      <c r="F191" s="119" t="n">
        <v>0.34</v>
      </c>
    </row>
    <row r="192" ht="15.95" customHeight="1">
      <c r="A192" s="430" t="inlineStr">
        <is>
          <t>Vietnam</t>
        </is>
      </c>
      <c r="B192" s="120" t="inlineStr">
        <is>
          <t>Ba2</t>
        </is>
      </c>
      <c r="C192" s="119" t="n">
        <v>0.032779436317051</v>
      </c>
      <c r="D192" s="119">
        <f>$B$1+E192</f>
        <v/>
      </c>
      <c r="E192" s="119" t="n">
        <v>0.0440044129483385</v>
      </c>
      <c r="F192" s="119" t="n">
        <v>0.2</v>
      </c>
    </row>
    <row r="193" ht="15.95" customHeight="1">
      <c r="A193" s="615" t="inlineStr">
        <is>
          <t>Yemen</t>
        </is>
      </c>
      <c r="B193" s="120" t="inlineStr">
        <is>
          <t>NR</t>
        </is>
      </c>
      <c r="C193" s="119" t="n">
        <v>0.1089660168195719</v>
      </c>
      <c r="D193" s="119">
        <f>$B$1+E193</f>
        <v/>
      </c>
      <c r="E193" s="119" t="n">
        <v>0.1462802946056097</v>
      </c>
      <c r="F193" s="119" t="n">
        <v>0.2</v>
      </c>
    </row>
    <row r="194" ht="15.95" customHeight="1">
      <c r="A194" s="430" t="inlineStr">
        <is>
          <t>Zambia</t>
        </is>
      </c>
      <c r="B194" s="120" t="inlineStr">
        <is>
          <t>Caa3</t>
        </is>
      </c>
      <c r="C194" s="119" t="n">
        <v>0.1089660168195719</v>
      </c>
      <c r="D194" s="119">
        <f>$B$1+E194</f>
        <v/>
      </c>
      <c r="E194" s="119" t="n">
        <v>0.1462802946056097</v>
      </c>
      <c r="F194" s="119" t="n">
        <v>0.35</v>
      </c>
    </row>
    <row r="195" ht="15.95" customHeight="1">
      <c r="A195" s="616" t="inlineStr">
        <is>
          <t>Zimbabwe</t>
        </is>
      </c>
      <c r="B195" s="120" t="inlineStr">
        <is>
          <t>NR</t>
        </is>
      </c>
      <c r="C195" s="119" t="n">
        <v>0.09808221960492602</v>
      </c>
      <c r="D195" s="119">
        <f>$B$1+E195</f>
        <v/>
      </c>
      <c r="E195" s="119" t="n">
        <v>0.1316694543688566</v>
      </c>
      <c r="F195" s="119" t="n">
        <v>0.25</v>
      </c>
    </row>
    <row r="200">
      <c r="A200" s="617" t="inlineStr">
        <is>
          <t>Region</t>
        </is>
      </c>
      <c r="B200" s="618" t="inlineStr">
        <is>
          <t>ERP</t>
        </is>
      </c>
      <c r="C200" s="618" t="inlineStr">
        <is>
          <t>Default Spread</t>
        </is>
      </c>
      <c r="D200" s="618" t="inlineStr">
        <is>
          <t>Tax Rate</t>
        </is>
      </c>
      <c r="E200" s="618" t="inlineStr">
        <is>
          <t>CRP</t>
        </is>
      </c>
    </row>
    <row r="201">
      <c r="A201" s="439" t="inlineStr">
        <is>
          <t>Africa</t>
        </is>
      </c>
      <c r="B201" s="445">
        <f>$B$1+E201</f>
        <v/>
      </c>
      <c r="C201" s="445" t="n">
        <v>0.06826267935109193</v>
      </c>
      <c r="D201" s="445" t="n">
        <v>0.2730283648900569</v>
      </c>
      <c r="E201" s="445" t="n">
        <v>0.09163852306889544</v>
      </c>
    </row>
    <row r="202">
      <c r="A202" s="439" t="inlineStr">
        <is>
          <t>Asia</t>
        </is>
      </c>
      <c r="B202" s="445">
        <f>$B$1+E202</f>
        <v/>
      </c>
      <c r="C202" s="445" t="n">
        <v>0.01251855589819318</v>
      </c>
      <c r="D202" s="445" t="n">
        <v>0.2576437502455447</v>
      </c>
      <c r="E202" s="445" t="n">
        <v>0.01680540500857857</v>
      </c>
    </row>
    <row r="203">
      <c r="A203" s="439" t="inlineStr">
        <is>
          <t>Australia &amp; New Zealand</t>
        </is>
      </c>
      <c r="B203" s="445">
        <f>$B$1+E203</f>
        <v/>
      </c>
      <c r="C203" s="445" t="n">
        <v>3.569890154426591e-05</v>
      </c>
      <c r="D203" s="445" t="n">
        <v>0.2974436132876228</v>
      </c>
      <c r="E203" s="445" t="n">
        <v>4.792361864193529e-05</v>
      </c>
    </row>
    <row r="204">
      <c r="A204" s="439" t="inlineStr">
        <is>
          <t>Caribbean</t>
        </is>
      </c>
      <c r="B204" s="445">
        <f>$B$1+E204</f>
        <v/>
      </c>
      <c r="C204" s="445" t="n">
        <v>0.1054310997313879</v>
      </c>
      <c r="D204" s="445" t="n">
        <v>0.2724561140242252</v>
      </c>
      <c r="E204" s="445" t="n">
        <v>0.1415348819700155</v>
      </c>
    </row>
    <row r="205">
      <c r="A205" s="439" t="inlineStr">
        <is>
          <t>Central and South America</t>
        </is>
      </c>
      <c r="B205" s="445">
        <f>$B$1+E205</f>
        <v/>
      </c>
      <c r="C205" s="445" t="n">
        <v>0.04291508619362226</v>
      </c>
      <c r="D205" s="445" t="n">
        <v>0.3159574942603002</v>
      </c>
      <c r="E205" s="445" t="n">
        <v>0.05761091058162495</v>
      </c>
    </row>
    <row r="206">
      <c r="A206" s="439" t="inlineStr">
        <is>
          <t>Eastern Europe &amp; Russia</t>
        </is>
      </c>
      <c r="B206" s="445">
        <f>$B$1+E206</f>
        <v/>
      </c>
      <c r="C206" s="445" t="n">
        <v>0.03767039834545784</v>
      </c>
      <c r="D206" s="445" t="n">
        <v>0.1848581910218031</v>
      </c>
      <c r="E206" s="445" t="n">
        <v>0.05057938347719226</v>
      </c>
    </row>
    <row r="207">
      <c r="A207" s="439" t="inlineStr">
        <is>
          <t>Middle East</t>
        </is>
      </c>
      <c r="B207" s="445">
        <f>$B$1+E207</f>
        <v/>
      </c>
      <c r="C207" s="445" t="n">
        <v>0.01608265362787447</v>
      </c>
      <c r="D207" s="445" t="n">
        <v>0.1876015215361524</v>
      </c>
      <c r="E207" s="445" t="n">
        <v>0.02158999089248985</v>
      </c>
    </row>
    <row r="208">
      <c r="A208" s="439" t="inlineStr">
        <is>
          <t>North America</t>
        </is>
      </c>
      <c r="B208" s="445">
        <f>$B$1+E208</f>
        <v/>
      </c>
      <c r="C208" s="445" t="n">
        <v>0</v>
      </c>
      <c r="D208" s="445" t="n">
        <v>0.2511628656117083</v>
      </c>
      <c r="E208" s="445" t="n">
        <v>0</v>
      </c>
    </row>
    <row r="209">
      <c r="A209" s="439" t="inlineStr">
        <is>
          <t>Western Europe</t>
        </is>
      </c>
      <c r="B209" s="445">
        <f>$B$1+E209</f>
        <v/>
      </c>
      <c r="C209" s="445" t="n">
        <v>0.009588220147283357</v>
      </c>
      <c r="D209" s="445" t="n">
        <v>0.2470734954341358</v>
      </c>
      <c r="E209" s="445" t="n">
        <v>0.01287160629364337</v>
      </c>
    </row>
    <row r="210">
      <c r="A210" s="439" t="inlineStr">
        <is>
          <t>Global</t>
        </is>
      </c>
      <c r="B210" s="445">
        <f>$B$1+E210</f>
        <v/>
      </c>
      <c r="C210" s="445" t="n">
        <v>0.0135</v>
      </c>
      <c r="D210" s="445" t="n">
        <v>0.2522594250976475</v>
      </c>
      <c r="E210" s="445"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2" activePane="bottomRight" state="frozen"/>
      <selection pane="bottomRight" activeCell="A1" sqref="A1:AA6553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8" defaultColWidth="11.42578125" defaultRowHeight="12.95"/>
  <cols>
    <col width="41" customWidth="1" min="1" max="1"/>
    <col width="14.85546875" customWidth="1" min="3" max="18"/>
  </cols>
  <sheetData>
    <row r="1" ht="15.95" customFormat="1" customHeight="1" s="2">
      <c r="A1" s="385" t="n"/>
      <c r="B1" s="156" t="n"/>
      <c r="C1" s="591" t="inlineStr">
        <is>
          <t>Revenue Growth Rate = Last 3 years</t>
        </is>
      </c>
      <c r="D1" s="662" t="n"/>
      <c r="E1" s="662" t="n"/>
      <c r="F1" s="591" t="inlineStr">
        <is>
          <t>Pre-tax Operating Margin</t>
        </is>
      </c>
      <c r="G1" s="662" t="n"/>
      <c r="H1" s="662" t="n"/>
      <c r="I1" s="592" t="inlineStr">
        <is>
          <t>Sales to Invested Capital</t>
        </is>
      </c>
      <c r="J1" s="662" t="n"/>
      <c r="K1" s="662" t="n"/>
      <c r="L1" s="591" t="inlineStr">
        <is>
          <t>Cost of Capital</t>
        </is>
      </c>
      <c r="M1" s="662" t="n"/>
      <c r="N1" s="662" t="n"/>
      <c r="O1" s="156" t="inlineStr">
        <is>
          <t>Beta</t>
        </is>
      </c>
      <c r="P1" s="591" t="inlineStr">
        <is>
          <t>Debt to Capital Ratio</t>
        </is>
      </c>
      <c r="Q1" s="662" t="n"/>
      <c r="R1" s="662"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6" t="n">
        <v>0.09836891315438587</v>
      </c>
      <c r="M3" s="766" t="n">
        <v>0.1051764252570819</v>
      </c>
      <c r="N3" s="766" t="n">
        <v>0.1073344164058349</v>
      </c>
      <c r="O3" s="437" t="n">
        <v>0.6440464534599691</v>
      </c>
      <c r="P3" s="437" t="n">
        <v>1.203144563302701</v>
      </c>
      <c r="Q3" s="437" t="n">
        <v>1.825686817107774</v>
      </c>
      <c r="R3" s="766" t="n">
        <v>0.00872595906050147</v>
      </c>
      <c r="S3" s="766" t="n">
        <v>0.09155285786545272</v>
      </c>
      <c r="T3" s="766"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6" t="n">
        <v>0.07927123819983303</v>
      </c>
      <c r="M4" s="766" t="n">
        <v>0.08585980694651799</v>
      </c>
      <c r="N4" s="766" t="n">
        <v>0.08888428965230953</v>
      </c>
      <c r="O4" s="437" t="n">
        <v>0.5067993389789744</v>
      </c>
      <c r="P4" s="437" t="n">
        <v>0.9259121818896379</v>
      </c>
      <c r="Q4" s="437" t="n">
        <v>1.42046891056622</v>
      </c>
      <c r="R4" s="766" t="n">
        <v>0.0117500141908384</v>
      </c>
      <c r="S4" s="766" t="n">
        <v>0.09774436090225563</v>
      </c>
      <c r="T4" s="766"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6" t="n">
        <v>0.07548634270861693</v>
      </c>
      <c r="M5" s="766" t="n">
        <v>0.08078841968038647</v>
      </c>
      <c r="N5" s="766" t="n">
        <v>0.09511090422332963</v>
      </c>
      <c r="O5" s="437" t="n">
        <v>0.7784964479395179</v>
      </c>
      <c r="P5" s="437" t="n">
        <v>1.240713233739075</v>
      </c>
      <c r="Q5" s="437" t="n">
        <v>1.676291875264336</v>
      </c>
      <c r="R5" s="766" t="n">
        <v>0.1536317467816228</v>
      </c>
      <c r="S5" s="766" t="n">
        <v>0.4367579355464017</v>
      </c>
      <c r="T5" s="766"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6" t="n">
        <v>0.0809939896693336</v>
      </c>
      <c r="M6" s="766" t="n">
        <v>0.09623882839362224</v>
      </c>
      <c r="N6" s="766" t="n">
        <v>0.09922870004892297</v>
      </c>
      <c r="O6" s="437" t="n">
        <v>0.3133717668461348</v>
      </c>
      <c r="P6" s="437" t="n">
        <v>0.7884320972122296</v>
      </c>
      <c r="Q6" s="437" t="n">
        <v>1.304485262547038</v>
      </c>
      <c r="R6" s="766" t="n">
        <v>0.05959352394075094</v>
      </c>
      <c r="S6" s="766" t="n">
        <v>0.2344753747323341</v>
      </c>
      <c r="T6" s="766"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6" t="n">
        <v>0.085515379882285</v>
      </c>
      <c r="M7" s="766" t="n">
        <v>0.09358829244066104</v>
      </c>
      <c r="N7" s="766" t="n">
        <v>0.09926696977187735</v>
      </c>
      <c r="O7" s="437" t="n">
        <v>0.8500670587943352</v>
      </c>
      <c r="P7" s="437" t="n">
        <v>1.391400674129436</v>
      </c>
      <c r="Q7" s="437" t="n">
        <v>1.824495963419501</v>
      </c>
      <c r="R7" s="766" t="n">
        <v>0.01284736332093401</v>
      </c>
      <c r="S7" s="766" t="n">
        <v>0.1307709829343942</v>
      </c>
      <c r="T7" s="766"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6" t="n">
        <v>0.09775278367129892</v>
      </c>
      <c r="M8" s="766" t="n">
        <v>0.1035398625191708</v>
      </c>
      <c r="N8" s="766" t="n">
        <v>0.1058675598881899</v>
      </c>
      <c r="O8" s="437" t="n">
        <v>0.833431933229425</v>
      </c>
      <c r="P8" s="437" t="n">
        <v>1.232626377077593</v>
      </c>
      <c r="Q8" s="437" t="n">
        <v>1.70321829415326</v>
      </c>
      <c r="R8" s="766" t="n">
        <v>0.04628786893771941</v>
      </c>
      <c r="S8" s="766" t="n">
        <v>0.1815564473913802</v>
      </c>
      <c r="T8" s="766"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6" t="n">
        <v>0.06105718460287066</v>
      </c>
      <c r="M9" s="766" t="n">
        <v>0.07035018296351489</v>
      </c>
      <c r="N9" s="766" t="n">
        <v>0.09308708232295936</v>
      </c>
      <c r="O9" s="437" t="n">
        <v>0.2622764322642789</v>
      </c>
      <c r="P9" s="437" t="n">
        <v>0.8358118490036747</v>
      </c>
      <c r="Q9" s="437" t="n">
        <v>1.321703224628091</v>
      </c>
      <c r="R9" s="766" t="n">
        <v>0.2481650466177346</v>
      </c>
      <c r="S9" s="766" t="n">
        <v>0.5234223734713223</v>
      </c>
      <c r="T9" s="766"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6" t="n">
        <v>0.04881219951969602</v>
      </c>
      <c r="M10" s="766" t="n">
        <v>0.05069093326920979</v>
      </c>
      <c r="N10" s="766" t="n">
        <v>0.0522633419173839</v>
      </c>
      <c r="O10" s="437" t="n">
        <v>0.2057687656370838</v>
      </c>
      <c r="P10" s="437" t="n">
        <v>0.4418342101687323</v>
      </c>
      <c r="Q10" s="437" t="n">
        <v>0.7575596408822887</v>
      </c>
      <c r="R10" s="766" t="n">
        <v>0.1392448709790364</v>
      </c>
      <c r="S10" s="766" t="n">
        <v>0.4039039106036102</v>
      </c>
      <c r="T10" s="766"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6" t="n">
        <v>0.07059025425896753</v>
      </c>
      <c r="M11" s="766" t="n">
        <v>0.07763500850733079</v>
      </c>
      <c r="N11" s="766" t="n">
        <v>0.0922964280727263</v>
      </c>
      <c r="O11" s="437" t="n">
        <v>0.3346210148305092</v>
      </c>
      <c r="P11" s="437" t="n">
        <v>0.7149946961782315</v>
      </c>
      <c r="Q11" s="437" t="n">
        <v>1.081841713380472</v>
      </c>
      <c r="R11" s="766" t="n">
        <v>0.001598531373609064</v>
      </c>
      <c r="S11" s="766" t="n">
        <v>0.06227857542420288</v>
      </c>
      <c r="T11" s="766"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6" t="n">
        <v>0.06898751822706016</v>
      </c>
      <c r="M12" s="766" t="n">
        <v>0.07466314824788337</v>
      </c>
      <c r="N12" s="766" t="n">
        <v>0.08454127816338909</v>
      </c>
      <c r="O12" s="437" t="n">
        <v>0.227864792957012</v>
      </c>
      <c r="P12" s="437" t="n">
        <v>0.6004673207561629</v>
      </c>
      <c r="Q12" s="437" t="n">
        <v>0.9609438041442201</v>
      </c>
      <c r="R12" s="766" t="n">
        <v>0.006932361844365274</v>
      </c>
      <c r="S12" s="766" t="n">
        <v>0.06902099769083329</v>
      </c>
      <c r="T12" s="766"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6" t="n">
        <v>0.0736719858968715</v>
      </c>
      <c r="M13" s="766" t="n">
        <v>0.07710504889471813</v>
      </c>
      <c r="N13" s="766" t="n">
        <v>0.09098039049624033</v>
      </c>
      <c r="O13" s="437" t="n">
        <v>0.5050759990877971</v>
      </c>
      <c r="P13" s="437" t="n">
        <v>1.021566703669367</v>
      </c>
      <c r="Q13" s="437" t="n">
        <v>1.5082100492417</v>
      </c>
      <c r="R13" s="766" t="n">
        <v>0.0409794252678116</v>
      </c>
      <c r="S13" s="766" t="n">
        <v>0.2767555555555556</v>
      </c>
      <c r="T13" s="766"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6" t="n">
        <v>0.05916207485232679</v>
      </c>
      <c r="M14" s="766" t="n">
        <v>0.06731664696098894</v>
      </c>
      <c r="N14" s="766" t="n">
        <v>0.07001629460600559</v>
      </c>
      <c r="O14" s="437" t="n">
        <v>0.3493481690300868</v>
      </c>
      <c r="P14" s="437" t="n">
        <v>0.9118862151101015</v>
      </c>
      <c r="Q14" s="437" t="n">
        <v>1.454565665453819</v>
      </c>
      <c r="R14" s="766" t="n">
        <v>0.007225433526011561</v>
      </c>
      <c r="S14" s="766" t="n">
        <v>0.1421616358325219</v>
      </c>
      <c r="T14" s="766"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6" t="n">
        <v>0.08405588120214819</v>
      </c>
      <c r="M15" s="766" t="n">
        <v>0.08974609846798184</v>
      </c>
      <c r="N15" s="766" t="n">
        <v>0.1067230932795727</v>
      </c>
      <c r="O15" s="437" t="n">
        <v>0.5036193196570941</v>
      </c>
      <c r="P15" s="437" t="n">
        <v>0.9747940732489032</v>
      </c>
      <c r="Q15" s="437" t="n">
        <v>1.462454217342408</v>
      </c>
      <c r="R15" s="766" t="n">
        <v>0.05630630630630631</v>
      </c>
      <c r="S15" s="766" t="n">
        <v>0.1734767025089606</v>
      </c>
      <c r="T15" s="766"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6" t="n">
        <v>0.08255148945638</v>
      </c>
      <c r="M16" s="766" t="n">
        <v>0.08992796166352335</v>
      </c>
      <c r="N16" s="766" t="n">
        <v>0.09248008788523542</v>
      </c>
      <c r="O16" s="437" t="n">
        <v>0.5221486638994687</v>
      </c>
      <c r="P16" s="437" t="n">
        <v>0.9899478226686172</v>
      </c>
      <c r="Q16" s="437" t="n">
        <v>1.459764269339867</v>
      </c>
      <c r="R16" s="766" t="n">
        <v>0.01296590447342174</v>
      </c>
      <c r="S16" s="766" t="n">
        <v>0.1105722599418041</v>
      </c>
      <c r="T16" s="766"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6" t="n">
        <v>0.06739569145758198</v>
      </c>
      <c r="M17" s="766" t="n">
        <v>0.07187675324991656</v>
      </c>
      <c r="N17" s="766" t="n">
        <v>0.08505900102119285</v>
      </c>
      <c r="O17" s="437" t="n">
        <v>0.633084545543681</v>
      </c>
      <c r="P17" s="437" t="n">
        <v>1.077758748701366</v>
      </c>
      <c r="Q17" s="437" t="n">
        <v>1.35366209359659</v>
      </c>
      <c r="R17" s="766" t="n">
        <v>0.03418422560315743</v>
      </c>
      <c r="S17" s="766" t="n">
        <v>0.379735935706085</v>
      </c>
      <c r="T17" s="766"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6" t="n">
        <v>0.08617527129200236</v>
      </c>
      <c r="M18" s="766" t="n">
        <v>0.08908717075301946</v>
      </c>
      <c r="N18" s="766" t="n">
        <v>0.105663611238849</v>
      </c>
      <c r="O18" s="437" t="n">
        <v>0.6177338525468948</v>
      </c>
      <c r="P18" s="437" t="n">
        <v>1.046070122202205</v>
      </c>
      <c r="Q18" s="437" t="n">
        <v>1.486573104131997</v>
      </c>
      <c r="R18" s="766" t="n">
        <v>0.02782797253342971</v>
      </c>
      <c r="S18" s="766" t="n">
        <v>0.1499659168370825</v>
      </c>
      <c r="T18" s="766"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6" t="n">
        <v>0.07950987790559788</v>
      </c>
      <c r="M19" s="766" t="n">
        <v>0.08417924803381006</v>
      </c>
      <c r="N19" s="766" t="n">
        <v>0.1037641729694857</v>
      </c>
      <c r="O19" s="437" t="n">
        <v>0.6993101230345485</v>
      </c>
      <c r="P19" s="437" t="n">
        <v>1.125450608340361</v>
      </c>
      <c r="Q19" s="437" t="n">
        <v>1.366194871117592</v>
      </c>
      <c r="R19" s="766" t="n">
        <v>0.1152705328832975</v>
      </c>
      <c r="S19" s="766" t="n">
        <v>0.2523215812603154</v>
      </c>
      <c r="T19" s="766"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6" t="n">
        <v>0.08607563438672819</v>
      </c>
      <c r="M20" s="766" t="n">
        <v>0.09045321240604182</v>
      </c>
      <c r="N20" s="766" t="n">
        <v>0.1095815593154258</v>
      </c>
      <c r="O20" s="437" t="n">
        <v>0.5586488007229141</v>
      </c>
      <c r="P20" s="437" t="n">
        <v>0.9824680873781174</v>
      </c>
      <c r="Q20" s="437" t="n">
        <v>1.424573869727302</v>
      </c>
      <c r="R20" s="766" t="n">
        <v>0.02294739979138728</v>
      </c>
      <c r="S20" s="766" t="n">
        <v>0.1187143597719025</v>
      </c>
      <c r="T20" s="766"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6" t="n">
        <v>0.08865915065955403</v>
      </c>
      <c r="M21" s="766" t="n">
        <v>0.09049151507742678</v>
      </c>
      <c r="N21" s="766" t="n">
        <v>0.1110428409979302</v>
      </c>
      <c r="O21" s="437" t="n">
        <v>0.3727351568985759</v>
      </c>
      <c r="P21" s="437" t="n">
        <v>0.9444725696960092</v>
      </c>
      <c r="Q21" s="437" t="n">
        <v>1.575926483040253</v>
      </c>
      <c r="R21" s="766" t="n">
        <v>5.66412799850395e-05</v>
      </c>
      <c r="S21" s="766" t="n">
        <v>0.0551744706233224</v>
      </c>
      <c r="T21" s="766"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6" t="n">
        <v>0.09043512842322962</v>
      </c>
      <c r="M22" s="766" t="n">
        <v>0.09409255401815129</v>
      </c>
      <c r="N22" s="766" t="n">
        <v>0.1076934404282229</v>
      </c>
      <c r="O22" s="437" t="n">
        <v>0.5648900084166104</v>
      </c>
      <c r="P22" s="437" t="n">
        <v>1.003765905072171</v>
      </c>
      <c r="Q22" s="437" t="n">
        <v>1.447932600314236</v>
      </c>
      <c r="R22" s="766" t="n">
        <v>0.0105382911202922</v>
      </c>
      <c r="S22" s="766" t="n">
        <v>0.07269527548395832</v>
      </c>
      <c r="T22" s="766"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6" t="n">
        <v>0.1024153249601094</v>
      </c>
      <c r="M23" s="766" t="n">
        <v>0.106235527278809</v>
      </c>
      <c r="N23" s="766" t="n">
        <v>0.1083986321335266</v>
      </c>
      <c r="O23" s="437" t="n">
        <v>0.8059414775513541</v>
      </c>
      <c r="P23" s="437" t="n">
        <v>1.208390091947987</v>
      </c>
      <c r="Q23" s="437" t="n">
        <v>1.710163280085617</v>
      </c>
      <c r="R23" s="766" t="n">
        <v>0.01749151749151749</v>
      </c>
      <c r="S23" s="766" t="n">
        <v>0.09428129829984543</v>
      </c>
      <c r="T23" s="766"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6" t="n">
        <v>0.07686099553776719</v>
      </c>
      <c r="M24" s="766" t="n">
        <v>0.08857633511136384</v>
      </c>
      <c r="N24" s="766" t="n">
        <v>0.09800328222189005</v>
      </c>
      <c r="O24" s="437" t="n">
        <v>0.4269034632197925</v>
      </c>
      <c r="P24" s="437" t="n">
        <v>0.9057036612311372</v>
      </c>
      <c r="Q24" s="437" t="n">
        <v>1.348416564951304</v>
      </c>
      <c r="R24" s="766" t="n">
        <v>0.03422152560083595</v>
      </c>
      <c r="S24" s="766" t="n">
        <v>0.1816526610644258</v>
      </c>
      <c r="T24" s="766"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6" t="n">
        <v>0.07342226115527012</v>
      </c>
      <c r="M25" s="766" t="n">
        <v>0.0811908294811873</v>
      </c>
      <c r="N25" s="766" t="n">
        <v>0.09570495390741254</v>
      </c>
      <c r="O25" s="437" t="n">
        <v>0.3993751342500558</v>
      </c>
      <c r="P25" s="437" t="n">
        <v>0.916923264166887</v>
      </c>
      <c r="Q25" s="437" t="n">
        <v>1.435477769550142</v>
      </c>
      <c r="R25" s="766" t="n">
        <v>0.05200916317484538</v>
      </c>
      <c r="S25" s="766" t="n">
        <v>0.3084745762711865</v>
      </c>
      <c r="T25" s="766"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6" t="n">
        <v>0.09107256542614203</v>
      </c>
      <c r="M26" s="766" t="n">
        <v>0.09165759615603469</v>
      </c>
      <c r="N26" s="766" t="n">
        <v>0.100632247162767</v>
      </c>
      <c r="O26" s="437" t="n">
        <v>0.6412542267471837</v>
      </c>
      <c r="P26" s="437" t="n">
        <v>1.108579338558525</v>
      </c>
      <c r="Q26" s="437" t="n">
        <v>1.636713621680469</v>
      </c>
      <c r="R26" s="766" t="n">
        <v>0.003541787809906433</v>
      </c>
      <c r="S26" s="766" t="n">
        <v>0.04044835875256449</v>
      </c>
      <c r="T26" s="766"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6" t="n">
        <v>0.07946971827051694</v>
      </c>
      <c r="M27" s="766" t="n">
        <v>0.08695354832775432</v>
      </c>
      <c r="N27" s="766" t="n">
        <v>0.09201961239183637</v>
      </c>
      <c r="O27" s="437" t="n">
        <v>0.4689517632669788</v>
      </c>
      <c r="P27" s="437" t="n">
        <v>0.8547367162095574</v>
      </c>
      <c r="Q27" s="437" t="n">
        <v>1.321946073176484</v>
      </c>
      <c r="R27" s="766" t="n">
        <v>0.0060790273556231</v>
      </c>
      <c r="S27" s="766" t="n">
        <v>0.07834131618660192</v>
      </c>
      <c r="T27" s="766"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6" t="n">
        <v>0.0749829152471205</v>
      </c>
      <c r="M28" s="766" t="n">
        <v>0.07980116181356933</v>
      </c>
      <c r="N28" s="766" t="n">
        <v>0.09095277932782156</v>
      </c>
      <c r="O28" s="437" t="n">
        <v>0.2599929931506992</v>
      </c>
      <c r="P28" s="437" t="n">
        <v>0.7681542434214266</v>
      </c>
      <c r="Q28" s="437" t="n">
        <v>1.230319315867861</v>
      </c>
      <c r="R28" s="766" t="n">
        <v>0.01824106743248005</v>
      </c>
      <c r="S28" s="766" t="n">
        <v>0.1311944764013264</v>
      </c>
      <c r="T28" s="766"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6" t="n">
        <v>0.09461882571311157</v>
      </c>
      <c r="M29" s="766" t="n">
        <v>0.09904760526853885</v>
      </c>
      <c r="N29" s="766" t="n">
        <v>0.1007969718433285</v>
      </c>
      <c r="O29" s="437" t="n">
        <v>0.5918704821430562</v>
      </c>
      <c r="P29" s="437" t="n">
        <v>1.080245257160927</v>
      </c>
      <c r="Q29" s="437" t="n">
        <v>1.609268762135982</v>
      </c>
      <c r="R29" s="766" t="n">
        <v>0.01758539059857964</v>
      </c>
      <c r="S29" s="766" t="n">
        <v>0.1031278245332282</v>
      </c>
      <c r="T29" s="766"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6" t="n">
        <v>0.09109518207902552</v>
      </c>
      <c r="M30" s="766" t="n">
        <v>0.09776625058752712</v>
      </c>
      <c r="N30" s="766" t="n">
        <v>0.1002032992344775</v>
      </c>
      <c r="O30" s="437" t="n">
        <v>0.718953127517035</v>
      </c>
      <c r="P30" s="437" t="n">
        <v>1.179104108245023</v>
      </c>
      <c r="Q30" s="437" t="n">
        <v>1.751180882460848</v>
      </c>
      <c r="R30" s="766" t="n">
        <v>0.02684718895188461</v>
      </c>
      <c r="S30" s="766" t="n">
        <v>0.1316793893129771</v>
      </c>
      <c r="T30" s="766"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6" t="n">
        <v>0.1031493045695606</v>
      </c>
      <c r="M31" s="766" t="n">
        <v>0.1076605877335424</v>
      </c>
      <c r="N31" s="766" t="n">
        <v>0.110100820170016</v>
      </c>
      <c r="O31" s="437" t="n">
        <v>0.7469700779027746</v>
      </c>
      <c r="P31" s="437" t="n">
        <v>1.254871304110378</v>
      </c>
      <c r="Q31" s="437" t="n">
        <v>1.789210965139168</v>
      </c>
      <c r="R31" s="766" t="n">
        <v>0.01532017348571052</v>
      </c>
      <c r="S31" s="766" t="n">
        <v>0.08892330910679534</v>
      </c>
      <c r="T31" s="766"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6" t="n">
        <v>0.07820543034194977</v>
      </c>
      <c r="M32" s="766" t="n">
        <v>0.08206241271018874</v>
      </c>
      <c r="N32" s="766" t="n">
        <v>0.0962859899559179</v>
      </c>
      <c r="O32" s="437" t="n">
        <v>0.5249899919156651</v>
      </c>
      <c r="P32" s="437" t="n">
        <v>0.9668772105712965</v>
      </c>
      <c r="Q32" s="437" t="n">
        <v>1.455682768776427</v>
      </c>
      <c r="R32" s="766" t="n">
        <v>0.03986345735035297</v>
      </c>
      <c r="S32" s="766" t="n">
        <v>0.1936026936026936</v>
      </c>
      <c r="T32" s="766"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6" t="n">
        <v>0.08614980063257772</v>
      </c>
      <c r="M33" s="766" t="n">
        <v>0.09445105414262434</v>
      </c>
      <c r="N33" s="766" t="n">
        <v>0.09819853975156889</v>
      </c>
      <c r="O33" s="437" t="n">
        <v>0.5179071021794708</v>
      </c>
      <c r="P33" s="437" t="n">
        <v>1.023460922346831</v>
      </c>
      <c r="Q33" s="437" t="n">
        <v>1.662298313749064</v>
      </c>
      <c r="R33" s="766" t="n">
        <v>0.001786529726092147</v>
      </c>
      <c r="S33" s="766" t="n">
        <v>0.05105333080280888</v>
      </c>
      <c r="T33" s="766"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6" t="n">
        <v>0.07579559707108771</v>
      </c>
      <c r="M34" s="766" t="n">
        <v>0.08136865051154611</v>
      </c>
      <c r="N34" s="766" t="n">
        <v>0.08376018136982952</v>
      </c>
      <c r="O34" s="437" t="n">
        <v>0.4993375462559688</v>
      </c>
      <c r="P34" s="437" t="n">
        <v>0.8926869790372804</v>
      </c>
      <c r="Q34" s="437" t="n">
        <v>1.322624327235297</v>
      </c>
      <c r="R34" s="766" t="n">
        <v>0.03068736537585215</v>
      </c>
      <c r="S34" s="766" t="n">
        <v>0.1798759476223294</v>
      </c>
      <c r="T34" s="766"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6" t="n">
        <v>0.06887448554733712</v>
      </c>
      <c r="M35" s="766" t="n">
        <v>0.07578952036414929</v>
      </c>
      <c r="N35" s="766" t="n">
        <v>0.08480492943412227</v>
      </c>
      <c r="O35" s="437" t="n">
        <v>0.2628207663690826</v>
      </c>
      <c r="P35" s="437" t="n">
        <v>0.691037878605737</v>
      </c>
      <c r="Q35" s="437" t="n">
        <v>1.243845980013343</v>
      </c>
      <c r="R35" s="766" t="n">
        <v>0.01934366278510249</v>
      </c>
      <c r="S35" s="766" t="n">
        <v>0.1963117595325861</v>
      </c>
      <c r="T35" s="766"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6" t="n">
        <v>0.05015195025444996</v>
      </c>
      <c r="M36" s="766" t="n">
        <v>0.05456843268853141</v>
      </c>
      <c r="N36" s="766" t="n">
        <v>0.06059011091197702</v>
      </c>
      <c r="O36" s="437" t="n">
        <v>0.3561613360222687</v>
      </c>
      <c r="P36" s="437" t="n">
        <v>0.8489303381625015</v>
      </c>
      <c r="Q36" s="437" t="n">
        <v>1.391376473162</v>
      </c>
      <c r="R36" s="766" t="n">
        <v>0.02086214845550945</v>
      </c>
      <c r="S36" s="766" t="n">
        <v>0.2651596214555194</v>
      </c>
      <c r="T36" s="766"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6" t="n">
        <v>0.07125676511630759</v>
      </c>
      <c r="M37" s="766" t="n">
        <v>0.07639847689339438</v>
      </c>
      <c r="N37" s="766" t="n">
        <v>0.0870203968615834</v>
      </c>
      <c r="O37" s="437" t="n">
        <v>0.2746399106884778</v>
      </c>
      <c r="P37" s="437" t="n">
        <v>0.6492798789831261</v>
      </c>
      <c r="Q37" s="437" t="n">
        <v>1.093717007396882</v>
      </c>
      <c r="R37" s="766" t="n">
        <v>0.0413775379079928</v>
      </c>
      <c r="S37" s="766" t="n">
        <v>0.186600058771672</v>
      </c>
      <c r="T37" s="766"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6" t="n">
        <v>0.06443677801173839</v>
      </c>
      <c r="M38" s="766" t="n">
        <v>0.06720563593750756</v>
      </c>
      <c r="N38" s="766" t="n">
        <v>0.07821726869094134</v>
      </c>
      <c r="O38" s="437" t="n">
        <v>0.207481014179219</v>
      </c>
      <c r="P38" s="437" t="n">
        <v>0.6544334014781269</v>
      </c>
      <c r="Q38" s="437" t="n">
        <v>1.204033532104038</v>
      </c>
      <c r="R38" s="766" t="n">
        <v>0.02301037623360479</v>
      </c>
      <c r="S38" s="766" t="n">
        <v>0.2057237660721692</v>
      </c>
      <c r="T38" s="766"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6" t="n">
        <v>0.08833212571343328</v>
      </c>
      <c r="M39" s="766" t="n">
        <v>0.09111418853645295</v>
      </c>
      <c r="N39" s="766" t="n">
        <v>0.1069540805552981</v>
      </c>
      <c r="O39" s="437" t="n">
        <v>0.4736518087854164</v>
      </c>
      <c r="P39" s="437" t="n">
        <v>0.8969749608616471</v>
      </c>
      <c r="Q39" s="437" t="n">
        <v>1.431835041324249</v>
      </c>
      <c r="R39" s="766" t="n">
        <v>0.02645502645502645</v>
      </c>
      <c r="S39" s="766" t="n">
        <v>0.1353670162059104</v>
      </c>
      <c r="T39" s="766"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6" t="n">
        <v>0.06686868560646486</v>
      </c>
      <c r="M40" s="766" t="n">
        <v>0.0713515315562443</v>
      </c>
      <c r="N40" s="766" t="n">
        <v>0.08397148720883504</v>
      </c>
      <c r="O40" s="437" t="n">
        <v>0.3395022706532055</v>
      </c>
      <c r="P40" s="437" t="n">
        <v>0.8869557532952093</v>
      </c>
      <c r="Q40" s="437" t="n">
        <v>1.325977359079805</v>
      </c>
      <c r="R40" s="766" t="n">
        <v>0.1198428290766208</v>
      </c>
      <c r="S40" s="766" t="n">
        <v>0.3509316770186335</v>
      </c>
      <c r="T40" s="766"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6" t="n">
        <v>0.08635256623146172</v>
      </c>
      <c r="M41" s="766" t="n">
        <v>0.09220712926803723</v>
      </c>
      <c r="N41" s="766" t="n">
        <v>0.09671659712063349</v>
      </c>
      <c r="O41" s="437" t="n">
        <v>0.6345997594353269</v>
      </c>
      <c r="P41" s="437" t="n">
        <v>1.022950940395206</v>
      </c>
      <c r="Q41" s="437" t="n">
        <v>1.522616198279213</v>
      </c>
      <c r="R41" s="766" t="n">
        <v>0.006670383908473246</v>
      </c>
      <c r="S41" s="766" t="n">
        <v>0.05722857251357612</v>
      </c>
      <c r="T41" s="766"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6" t="n">
        <v>0.07639012358270988</v>
      </c>
      <c r="M42" s="766" t="n">
        <v>0.08310122213939961</v>
      </c>
      <c r="N42" s="766" t="n">
        <v>0.08528839638974034</v>
      </c>
      <c r="O42" s="437" t="n">
        <v>0.4404301273652743</v>
      </c>
      <c r="P42" s="437" t="n">
        <v>0.7812420315124222</v>
      </c>
      <c r="Q42" s="437" t="n">
        <v>1.348974835561798</v>
      </c>
      <c r="R42" s="766" t="n">
        <v>0.02626854389114618</v>
      </c>
      <c r="S42" s="766" t="n">
        <v>0.1449073723056781</v>
      </c>
      <c r="T42" s="766"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6" t="n">
        <v>0.09218717236217229</v>
      </c>
      <c r="M43" s="766" t="n">
        <v>0.0930990572848957</v>
      </c>
      <c r="N43" s="766" t="n">
        <v>0.1030989299881405</v>
      </c>
      <c r="O43" s="437" t="n">
        <v>0.7727967597261343</v>
      </c>
      <c r="P43" s="437" t="n">
        <v>1.151970976712207</v>
      </c>
      <c r="Q43" s="437" t="n">
        <v>1.703655728528231</v>
      </c>
      <c r="R43" s="766" t="n">
        <v>0.004026654313508891</v>
      </c>
      <c r="S43" s="766" t="n">
        <v>0.04266597149808829</v>
      </c>
      <c r="T43" s="766"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6" t="n">
        <v>0.08226064164006815</v>
      </c>
      <c r="M44" s="766" t="n">
        <v>0.08700336473116593</v>
      </c>
      <c r="N44" s="766" t="n">
        <v>0.09315638205973228</v>
      </c>
      <c r="O44" s="437" t="n">
        <v>0.6534006796804992</v>
      </c>
      <c r="P44" s="437" t="n">
        <v>1.049749698895646</v>
      </c>
      <c r="Q44" s="437" t="n">
        <v>1.502037421047796</v>
      </c>
      <c r="R44" s="766" t="n">
        <v>0.1223878645828686</v>
      </c>
      <c r="S44" s="766" t="n">
        <v>0.3219512195121951</v>
      </c>
      <c r="T44" s="766"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6" t="n">
        <v>0.06514910494885043</v>
      </c>
      <c r="M45" s="766" t="n">
        <v>0.07098673546178008</v>
      </c>
      <c r="N45" s="766" t="n">
        <v>0.0829413426593493</v>
      </c>
      <c r="O45" s="437" t="n">
        <v>0.3335281963627414</v>
      </c>
      <c r="P45" s="437" t="n">
        <v>0.7757983755317827</v>
      </c>
      <c r="Q45" s="437" t="n">
        <v>1.18514802784923</v>
      </c>
      <c r="R45" s="766" t="n">
        <v>0.03009511928894433</v>
      </c>
      <c r="S45" s="766" t="n">
        <v>0.1539429463692439</v>
      </c>
      <c r="T45" s="766"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6" t="n">
        <v>0.07676294762936629</v>
      </c>
      <c r="M46" s="766" t="n">
        <v>0.08161531879717371</v>
      </c>
      <c r="N46" s="766" t="n">
        <v>0.09709191019443077</v>
      </c>
      <c r="O46" s="437" t="n">
        <v>0.3614314945730799</v>
      </c>
      <c r="P46" s="437" t="n">
        <v>0.9005309871503696</v>
      </c>
      <c r="Q46" s="437" t="n">
        <v>1.495777506943897</v>
      </c>
      <c r="R46" s="766" t="n">
        <v>0.02789284727975697</v>
      </c>
      <c r="S46" s="766" t="n">
        <v>0.214228829307141</v>
      </c>
      <c r="T46" s="766"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6" t="n">
        <v>0.07441245466869095</v>
      </c>
      <c r="M47" s="766" t="n">
        <v>0.07676096464060375</v>
      </c>
      <c r="N47" s="766" t="n">
        <v>0.09165242937667575</v>
      </c>
      <c r="O47" s="437" t="n">
        <v>0.3073668271172179</v>
      </c>
      <c r="P47" s="437" t="n">
        <v>0.6653142532759653</v>
      </c>
      <c r="Q47" s="437" t="n">
        <v>1.205817471440652</v>
      </c>
      <c r="R47" s="766" t="n">
        <v>0.01144857041167398</v>
      </c>
      <c r="S47" s="766" t="n">
        <v>0.1096886819901076</v>
      </c>
      <c r="T47" s="766"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6" t="n">
        <v>0.08700663139659845</v>
      </c>
      <c r="M48" s="766" t="n">
        <v>0.09582047517351798</v>
      </c>
      <c r="N48" s="766" t="n">
        <v>0.1169148293587137</v>
      </c>
      <c r="O48" s="437" t="n">
        <v>0.5679741849811997</v>
      </c>
      <c r="P48" s="437" t="n">
        <v>1.094170919644543</v>
      </c>
      <c r="Q48" s="437" t="n">
        <v>1.615914241006029</v>
      </c>
      <c r="R48" s="766" t="n">
        <v>0.006459088860754061</v>
      </c>
      <c r="S48" s="766" t="n">
        <v>0.1065832553788588</v>
      </c>
      <c r="T48" s="766"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6" t="n">
        <v>0.07150919627494529</v>
      </c>
      <c r="M49" s="766" t="n">
        <v>0.07497569087877776</v>
      </c>
      <c r="N49" s="766" t="n">
        <v>0.09444948772189375</v>
      </c>
      <c r="O49" s="437" t="n">
        <v>0.1807036048591203</v>
      </c>
      <c r="P49" s="437" t="n">
        <v>0.6600810478222483</v>
      </c>
      <c r="Q49" s="437" t="n">
        <v>1.136062043869906</v>
      </c>
      <c r="R49" s="766" t="n">
        <v>0.00134624056561853</v>
      </c>
      <c r="S49" s="766" t="n">
        <v>0.06206252916472236</v>
      </c>
      <c r="T49" s="766"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6" t="n">
        <v>0.07432040677157861</v>
      </c>
      <c r="M50" s="766" t="n">
        <v>0.08192197659248544</v>
      </c>
      <c r="N50" s="766" t="n">
        <v>0.1258564543253356</v>
      </c>
      <c r="O50" s="437" t="n">
        <v>0.4278628859963649</v>
      </c>
      <c r="P50" s="437" t="n">
        <v>0.8531242719845141</v>
      </c>
      <c r="Q50" s="437" t="n">
        <v>1.359199040499947</v>
      </c>
      <c r="R50" s="766" t="n">
        <v>0.005882447745357575</v>
      </c>
      <c r="S50" s="766" t="n">
        <v>0.09100923246055261</v>
      </c>
      <c r="T50" s="766"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6" t="n">
        <v>0.06901070313049372</v>
      </c>
      <c r="M51" s="766" t="n">
        <v>0.08229844230270678</v>
      </c>
      <c r="N51" s="766" t="n">
        <v>0.1126480468436227</v>
      </c>
      <c r="O51" s="437" t="n">
        <v>0.3628355151361401</v>
      </c>
      <c r="P51" s="437" t="n">
        <v>0.6637958526182828</v>
      </c>
      <c r="Q51" s="437" t="n">
        <v>0.9877349137351419</v>
      </c>
      <c r="R51" s="766" t="n">
        <v>0.0008665952999949025</v>
      </c>
      <c r="S51" s="766" t="n">
        <v>0.03089834064466908</v>
      </c>
      <c r="T51" s="766"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6" t="n">
        <v>0.06227634483954853</v>
      </c>
      <c r="M52" s="766" t="n">
        <v>0.06446771294108368</v>
      </c>
      <c r="N52" s="766" t="n">
        <v>0.06875008421969271</v>
      </c>
      <c r="O52" s="437" t="n">
        <v>0.1314166379182863</v>
      </c>
      <c r="P52" s="437" t="n">
        <v>0.5879115554656339</v>
      </c>
      <c r="Q52" s="437" t="n">
        <v>1.176181355755747</v>
      </c>
      <c r="R52" s="766" t="n">
        <v>0</v>
      </c>
      <c r="S52" s="766" t="n">
        <v>0.009400720677596503</v>
      </c>
      <c r="T52" s="766"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6" t="n">
        <v>0.0907609636688385</v>
      </c>
      <c r="M53" s="766" t="n">
        <v>0.09533906784538246</v>
      </c>
      <c r="N53" s="766" t="n">
        <v>0.09692006483049517</v>
      </c>
      <c r="O53" s="437" t="n">
        <v>0.5975616522506249</v>
      </c>
      <c r="P53" s="437" t="n">
        <v>1.015786908217617</v>
      </c>
      <c r="Q53" s="437" t="n">
        <v>1.462749661534659</v>
      </c>
      <c r="R53" s="766" t="n">
        <v>0.01589833211734564</v>
      </c>
      <c r="S53" s="766" t="n">
        <v>0.09326991556310313</v>
      </c>
      <c r="T53" s="766"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6" t="n">
        <v>0.08401048758680386</v>
      </c>
      <c r="M54" s="766" t="n">
        <v>0.08407411582620361</v>
      </c>
      <c r="N54" s="766" t="n">
        <v>0.08624456787165205</v>
      </c>
      <c r="O54" s="437" t="n">
        <v>0.5594744857874498</v>
      </c>
      <c r="P54" s="437" t="n">
        <v>1.044028472258659</v>
      </c>
      <c r="Q54" s="437" t="n">
        <v>1.537559909513236</v>
      </c>
      <c r="R54" s="766" t="n">
        <v>0</v>
      </c>
      <c r="S54" s="766" t="n">
        <v>0.003813376662134828</v>
      </c>
      <c r="T54" s="766"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6" t="n">
        <v>0</v>
      </c>
      <c r="S55" s="766" t="n">
        <v>0</v>
      </c>
      <c r="T55" s="766"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6" t="n">
        <v>0.07722896469767941</v>
      </c>
      <c r="M56" s="766" t="n">
        <v>0.08154738204788964</v>
      </c>
      <c r="N56" s="766" t="n">
        <v>0.09573993464624804</v>
      </c>
      <c r="O56" s="437" t="n">
        <v>0.3483511264209298</v>
      </c>
      <c r="P56" s="437" t="n">
        <v>0.7859973551387082</v>
      </c>
      <c r="Q56" s="437" t="n">
        <v>1.254445887584746</v>
      </c>
      <c r="R56" s="766" t="n">
        <v>0.02326738832897847</v>
      </c>
      <c r="S56" s="766" t="n">
        <v>0.105760780132343</v>
      </c>
      <c r="T56" s="766"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6" t="n">
        <v>0.08162772120256655</v>
      </c>
      <c r="M57" s="766" t="n">
        <v>0.08887414699212416</v>
      </c>
      <c r="N57" s="766" t="n">
        <v>0.1120042531636969</v>
      </c>
      <c r="O57" s="437" t="n">
        <v>0.5309154964964505</v>
      </c>
      <c r="P57" s="437" t="n">
        <v>0.8969749608616471</v>
      </c>
      <c r="Q57" s="437" t="n">
        <v>1.340451132564019</v>
      </c>
      <c r="R57" s="766" t="n">
        <v>0.140534262485482</v>
      </c>
      <c r="S57" s="766" t="n">
        <v>0.2992817331685361</v>
      </c>
      <c r="T57" s="766"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6" t="n">
        <v>0.08238134470142476</v>
      </c>
      <c r="M58" s="766" t="n">
        <v>0.08304365594530191</v>
      </c>
      <c r="N58" s="766" t="n">
        <v>0.08978613864368458</v>
      </c>
      <c r="O58" s="437" t="n">
        <v>0.5390729959110587</v>
      </c>
      <c r="P58" s="437" t="n">
        <v>0.9976809475733847</v>
      </c>
      <c r="Q58" s="437" t="n">
        <v>1.546250814810917</v>
      </c>
      <c r="R58" s="766" t="n">
        <v>0</v>
      </c>
      <c r="S58" s="766" t="n">
        <v>0.08250559784674974</v>
      </c>
      <c r="T58" s="766"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6" t="n">
        <v>0.06636544789309094</v>
      </c>
      <c r="M59" s="766" t="n">
        <v>0.07353050970805466</v>
      </c>
      <c r="N59" s="766" t="n">
        <v>0.08469475524370935</v>
      </c>
      <c r="O59" s="437" t="n">
        <v>0.3743267524927403</v>
      </c>
      <c r="P59" s="437" t="n">
        <v>0.8298620595680499</v>
      </c>
      <c r="Q59" s="437" t="n">
        <v>1.260792266906975</v>
      </c>
      <c r="R59" s="766" t="n">
        <v>0.09906183604737906</v>
      </c>
      <c r="S59" s="766" t="n">
        <v>0.3349514563106796</v>
      </c>
      <c r="T59" s="766"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6" t="n">
        <v>0.07525862229948913</v>
      </c>
      <c r="M60" s="766" t="n">
        <v>0.08152189259495903</v>
      </c>
      <c r="N60" s="766" t="n">
        <v>0.09458509655502631</v>
      </c>
      <c r="O60" s="437" t="n">
        <v>0.4491816388545652</v>
      </c>
      <c r="P60" s="437" t="n">
        <v>0.9668286408616179</v>
      </c>
      <c r="Q60" s="437" t="n">
        <v>1.462263964437873</v>
      </c>
      <c r="R60" s="766" t="n">
        <v>0.05179077557330585</v>
      </c>
      <c r="S60" s="766" t="n">
        <v>0.23349736237184</v>
      </c>
      <c r="T60" s="766"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6" t="n">
        <v>0.07084668672720806</v>
      </c>
      <c r="M61" s="766" t="n">
        <v>0.0748287877383905</v>
      </c>
      <c r="N61" s="766" t="n">
        <v>0.08701250189438442</v>
      </c>
      <c r="O61" s="437" t="n">
        <v>0.380349396492883</v>
      </c>
      <c r="P61" s="437" t="n">
        <v>0.7637351495974271</v>
      </c>
      <c r="Q61" s="437" t="n">
        <v>1.292949956498377</v>
      </c>
      <c r="R61" s="766" t="n">
        <v>0.06273411576156269</v>
      </c>
      <c r="S61" s="766" t="n">
        <v>0.2171394085697043</v>
      </c>
      <c r="T61" s="766"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6" t="n">
        <v>0.07173873119214594</v>
      </c>
      <c r="M62" s="766" t="n">
        <v>0.0768247943549423</v>
      </c>
      <c r="N62" s="766" t="n">
        <v>0.0905574703294697</v>
      </c>
      <c r="O62" s="437" t="n">
        <v>0.4104869013484358</v>
      </c>
      <c r="P62" s="437" t="n">
        <v>0.833869060616532</v>
      </c>
      <c r="Q62" s="437" t="n">
        <v>1.326560195595948</v>
      </c>
      <c r="R62" s="766" t="n">
        <v>0.09432624113475178</v>
      </c>
      <c r="S62" s="766" t="n">
        <v>0.2732919254658385</v>
      </c>
      <c r="T62" s="766"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6" t="n">
        <v>0.06077639154652098</v>
      </c>
      <c r="M63" s="766" t="n">
        <v>0.06479648693081685</v>
      </c>
      <c r="N63" s="766" t="n">
        <v>0.07577340547579547</v>
      </c>
      <c r="O63" s="437" t="n">
        <v>0.3336496206369378</v>
      </c>
      <c r="P63" s="437" t="n">
        <v>0.6483978432642004</v>
      </c>
      <c r="Q63" s="437" t="n">
        <v>1.057848276799258</v>
      </c>
      <c r="R63" s="766" t="n">
        <v>0.1164069660861595</v>
      </c>
      <c r="S63" s="766" t="n">
        <v>0.3868421052631579</v>
      </c>
      <c r="T63" s="766"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6" t="n">
        <v>0.08616658917032927</v>
      </c>
      <c r="M64" s="766" t="n">
        <v>0.08641999811087574</v>
      </c>
      <c r="N64" s="766" t="n">
        <v>0.08641999811087574</v>
      </c>
      <c r="O64" s="437" t="n">
        <v>0.5797345063276523</v>
      </c>
      <c r="P64" s="437" t="n">
        <v>1.040410168765752</v>
      </c>
      <c r="Q64" s="437" t="n">
        <v>1.546835077351937</v>
      </c>
      <c r="R64" s="766" t="n">
        <v>0</v>
      </c>
      <c r="S64" s="766" t="n">
        <v>0.004542379433652266</v>
      </c>
      <c r="T64" s="766"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6" t="n">
        <v>0.08959226836890329</v>
      </c>
      <c r="M65" s="766" t="n">
        <v>0.09389159837061532</v>
      </c>
      <c r="N65" s="766" t="n">
        <v>0.111724733915199</v>
      </c>
      <c r="O65" s="437" t="n">
        <v>0.4299147852198638</v>
      </c>
      <c r="P65" s="437" t="n">
        <v>0.9108755561319086</v>
      </c>
      <c r="Q65" s="437" t="n">
        <v>1.429335001488834</v>
      </c>
      <c r="R65" s="766" t="n">
        <v>0.004244205027750571</v>
      </c>
      <c r="S65" s="766" t="n">
        <v>0.05970392061168049</v>
      </c>
      <c r="T65" s="766"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6" t="n">
        <v>0.05948160984090209</v>
      </c>
      <c r="M66" s="766" t="n">
        <v>0.06322497047164949</v>
      </c>
      <c r="N66" s="766" t="n">
        <v>0.07360656708635427</v>
      </c>
      <c r="O66" s="437" t="n">
        <v>0.4165338302034178</v>
      </c>
      <c r="P66" s="437" t="n">
        <v>0.7917797040265699</v>
      </c>
      <c r="Q66" s="437" t="n">
        <v>1.151029223390879</v>
      </c>
      <c r="R66" s="766" t="n">
        <v>0.2355478861087144</v>
      </c>
      <c r="S66" s="766" t="n">
        <v>0.4142739680973524</v>
      </c>
      <c r="T66" s="766"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6" t="n">
        <v>0.06337531121992672</v>
      </c>
      <c r="M67" s="766" t="n">
        <v>0.06950869511198741</v>
      </c>
      <c r="N67" s="766" t="n">
        <v>0.07422898783080406</v>
      </c>
      <c r="O67" s="437" t="n">
        <v>0.428724827332739</v>
      </c>
      <c r="P67" s="437" t="n">
        <v>0.9262277459139344</v>
      </c>
      <c r="Q67" s="437" t="n">
        <v>1.416268449372267</v>
      </c>
      <c r="R67" s="766" t="n">
        <v>0.08516260162601626</v>
      </c>
      <c r="S67" s="766" t="n">
        <v>0.4099531955432216</v>
      </c>
      <c r="T67" s="766"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6" t="n">
        <v>0.06504057564192911</v>
      </c>
      <c r="M68" s="766" t="n">
        <v>0.06847757083397459</v>
      </c>
      <c r="N68" s="766" t="n">
        <v>0.07969349038164569</v>
      </c>
      <c r="O68" s="437" t="n">
        <v>0.4327075435263816</v>
      </c>
      <c r="P68" s="437" t="n">
        <v>0.906561620815254</v>
      </c>
      <c r="Q68" s="437" t="n">
        <v>1.347493740467411</v>
      </c>
      <c r="R68" s="766" t="n">
        <v>0.09804351778879704</v>
      </c>
      <c r="S68" s="766" t="n">
        <v>0.42452597882295</v>
      </c>
      <c r="T68" s="766"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6" t="n">
        <v>0.06369953793084188</v>
      </c>
      <c r="M69" s="766" t="n">
        <v>0.0690173453829252</v>
      </c>
      <c r="N69" s="766" t="n">
        <v>0.07600196729568975</v>
      </c>
      <c r="O69" s="437" t="n">
        <v>0.2400072203766545</v>
      </c>
      <c r="P69" s="437" t="n">
        <v>0.7532513259957963</v>
      </c>
      <c r="Q69" s="437" t="n">
        <v>1.387830461240445</v>
      </c>
      <c r="R69" s="766" t="n">
        <v>0.01701032907115155</v>
      </c>
      <c r="S69" s="766" t="n">
        <v>0.3230815467842116</v>
      </c>
      <c r="T69" s="766"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6" t="n">
        <v>0.08003937144051153</v>
      </c>
      <c r="M70" s="766" t="n">
        <v>0.08583890903161522</v>
      </c>
      <c r="N70" s="766" t="n">
        <v>0.08895766781233204</v>
      </c>
      <c r="O70" s="437" t="n">
        <v>0.4924882135384958</v>
      </c>
      <c r="P70" s="437" t="n">
        <v>1.021529975355817</v>
      </c>
      <c r="Q70" s="437" t="n">
        <v>1.443048586289892</v>
      </c>
      <c r="R70" s="766" t="n">
        <v>0.03315358498102657</v>
      </c>
      <c r="S70" s="766" t="n">
        <v>0.156282814140707</v>
      </c>
      <c r="T70" s="766"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6" t="n">
        <v>0.09794090329137616</v>
      </c>
      <c r="M71" s="766" t="n">
        <v>0.1077752683169365</v>
      </c>
      <c r="N71" s="766" t="n">
        <v>0.1195306722807915</v>
      </c>
      <c r="O71" s="437" t="n">
        <v>0.6449328899668939</v>
      </c>
      <c r="P71" s="437" t="n">
        <v>1.048547177395812</v>
      </c>
      <c r="Q71" s="437" t="n">
        <v>1.432393592985552</v>
      </c>
      <c r="R71" s="766" t="n">
        <v>7.3060088601962e-05</v>
      </c>
      <c r="S71" s="766" t="n">
        <v>0.152100714304619</v>
      </c>
      <c r="T71" s="766"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6" t="n">
        <v>0.07764783886670062</v>
      </c>
      <c r="M72" s="766" t="n">
        <v>0.08386510090539182</v>
      </c>
      <c r="N72" s="766" t="n">
        <v>0.08631742108658244</v>
      </c>
      <c r="O72" s="437" t="n">
        <v>0.4306930231827682</v>
      </c>
      <c r="P72" s="437" t="n">
        <v>0.8048729439384256</v>
      </c>
      <c r="Q72" s="437" t="n">
        <v>1.382817332668571</v>
      </c>
      <c r="R72" s="766" t="n">
        <v>0.0988143677755164</v>
      </c>
      <c r="S72" s="766" t="n">
        <v>0.2356647763074984</v>
      </c>
      <c r="T72" s="766"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6" t="n">
        <v>0.07149466568881499</v>
      </c>
      <c r="M73" s="766" t="n">
        <v>0.0768145140829028</v>
      </c>
      <c r="N73" s="766" t="n">
        <v>0.09264042574340094</v>
      </c>
      <c r="O73" s="437" t="n">
        <v>0.3987987313862636</v>
      </c>
      <c r="P73" s="437" t="n">
        <v>0.8701506337464239</v>
      </c>
      <c r="Q73" s="437" t="n">
        <v>1.396339251109677</v>
      </c>
      <c r="R73" s="766" t="n">
        <v>0.1118655948387362</v>
      </c>
      <c r="S73" s="766" t="n">
        <v>0.368595825426945</v>
      </c>
      <c r="T73" s="766"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6" t="n">
        <v>0.08084781067662387</v>
      </c>
      <c r="M74" s="766" t="n">
        <v>0.0885545270725753</v>
      </c>
      <c r="N74" s="766" t="n">
        <v>0.1044138033791024</v>
      </c>
      <c r="O74" s="437" t="n">
        <v>0.573292568191003</v>
      </c>
      <c r="P74" s="437" t="n">
        <v>0.9935419811848315</v>
      </c>
      <c r="Q74" s="437" t="n">
        <v>1.563840635206271</v>
      </c>
      <c r="R74" s="766" t="n">
        <v>0.1035856573705179</v>
      </c>
      <c r="S74" s="766" t="n">
        <v>0.2986592589363452</v>
      </c>
      <c r="T74" s="766"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6" t="n">
        <v>0.06846876978254893</v>
      </c>
      <c r="M75" s="766" t="n">
        <v>0.07229305000227058</v>
      </c>
      <c r="N75" s="766" t="n">
        <v>0.08401475138409442</v>
      </c>
      <c r="O75" s="437" t="n">
        <v>0.2858084566035461</v>
      </c>
      <c r="P75" s="437" t="n">
        <v>0.7728005173009658</v>
      </c>
      <c r="Q75" s="437" t="n">
        <v>1.246639310452682</v>
      </c>
      <c r="R75" s="766" t="n">
        <v>0.01728587850001084</v>
      </c>
      <c r="S75" s="766" t="n">
        <v>0.1592482690405539</v>
      </c>
      <c r="T75" s="766"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6" t="n">
        <v>0.08298676092872442</v>
      </c>
      <c r="M76" s="766" t="n">
        <v>0.08936219631622466</v>
      </c>
      <c r="N76" s="766" t="n">
        <v>0.092882864533666</v>
      </c>
      <c r="O76" s="437" t="n">
        <v>0.5410665658192717</v>
      </c>
      <c r="P76" s="437" t="n">
        <v>0.928038329488805</v>
      </c>
      <c r="Q76" s="437" t="n">
        <v>1.405315979839749</v>
      </c>
      <c r="R76" s="766" t="n">
        <v>0.0881511746680286</v>
      </c>
      <c r="S76" s="766" t="n">
        <v>0.2651075206691564</v>
      </c>
      <c r="T76" s="766"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6" t="n">
        <v>0.06576515271101267</v>
      </c>
      <c r="M77" s="766" t="n">
        <v>0.0679152189118815</v>
      </c>
      <c r="N77" s="766" t="n">
        <v>0.07313272309941773</v>
      </c>
      <c r="O77" s="437" t="n">
        <v>0.3296063709452022</v>
      </c>
      <c r="P77" s="437" t="n">
        <v>0.5640582357927003</v>
      </c>
      <c r="Q77" s="437" t="n">
        <v>0.9096620925699408</v>
      </c>
      <c r="R77" s="766" t="n">
        <v>0.1104667026734389</v>
      </c>
      <c r="S77" s="766" t="n">
        <v>0.290221554273525</v>
      </c>
      <c r="T77" s="766"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6" t="n">
        <v>0.06265727326477667</v>
      </c>
      <c r="M78" s="766" t="n">
        <v>0.06642971875434193</v>
      </c>
      <c r="N78" s="766" t="n">
        <v>0.07538429826932144</v>
      </c>
      <c r="O78" s="437" t="n">
        <v>0.5703986672944151</v>
      </c>
      <c r="P78" s="437" t="n">
        <v>0.9139362270216549</v>
      </c>
      <c r="Q78" s="437" t="n">
        <v>1.298589233613985</v>
      </c>
      <c r="R78" s="766" t="n">
        <v>0.335725964236347</v>
      </c>
      <c r="S78" s="766" t="n">
        <v>0.4439813679823486</v>
      </c>
      <c r="T78" s="766"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6" t="n">
        <v>0.08334712969165906</v>
      </c>
      <c r="M79" s="766" t="n">
        <v>0.09029001074557207</v>
      </c>
      <c r="N79" s="766" t="n">
        <v>0.09457671353344588</v>
      </c>
      <c r="O79" s="437" t="n">
        <v>0.5911251536049448</v>
      </c>
      <c r="P79" s="437" t="n">
        <v>0.9772468435876711</v>
      </c>
      <c r="Q79" s="437" t="n">
        <v>1.479778251691806</v>
      </c>
      <c r="R79" s="766" t="n">
        <v>0.05705344641497018</v>
      </c>
      <c r="S79" s="766" t="n">
        <v>0.2220438253318559</v>
      </c>
      <c r="T79" s="766"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6" t="n">
        <v>0.08322508029770886</v>
      </c>
      <c r="M80" s="766" t="n">
        <v>0.09162938579178047</v>
      </c>
      <c r="N80" s="766" t="n">
        <v>0.1050026281815768</v>
      </c>
      <c r="O80" s="437" t="n">
        <v>0.6274517277099881</v>
      </c>
      <c r="P80" s="437" t="n">
        <v>1.090171418590347</v>
      </c>
      <c r="Q80" s="437" t="n">
        <v>1.382051088903714</v>
      </c>
      <c r="R80" s="766" t="n">
        <v>0.08250663899148378</v>
      </c>
      <c r="S80" s="766" t="n">
        <v>0.2307692307692308</v>
      </c>
      <c r="T80" s="766"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6" t="n">
        <v>0.1245526186995488</v>
      </c>
      <c r="M81" s="766" t="n">
        <v>0.1286472759959781</v>
      </c>
      <c r="N81" s="766" t="n">
        <v>0.1300069104193769</v>
      </c>
      <c r="O81" s="437" t="n">
        <v>1.135486957720453</v>
      </c>
      <c r="P81" s="437" t="n">
        <v>1.58973516748928</v>
      </c>
      <c r="Q81" s="437" t="n">
        <v>2.210383202616889</v>
      </c>
      <c r="R81" s="766" t="n">
        <v>0.004636922326004482</v>
      </c>
      <c r="S81" s="766" t="n">
        <v>0.05124947056332062</v>
      </c>
      <c r="T81" s="766"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6" t="n">
        <v>0.1391919158417226</v>
      </c>
      <c r="M82" s="766" t="n">
        <v>0.1431843025082072</v>
      </c>
      <c r="N82" s="766" t="n">
        <v>0.1470322636012131</v>
      </c>
      <c r="O82" s="437" t="n">
        <v>1.299608294458068</v>
      </c>
      <c r="P82" s="437" t="n">
        <v>1.959755909254536</v>
      </c>
      <c r="Q82" s="437" t="n">
        <v>2.57519029201263</v>
      </c>
      <c r="R82" s="766" t="n">
        <v>0.009802950787206657</v>
      </c>
      <c r="S82" s="766" t="n">
        <v>0.0654100751710984</v>
      </c>
      <c r="T82" s="766"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6" t="n">
        <v>0.0817372818979578</v>
      </c>
      <c r="M83" s="766" t="n">
        <v>0.08701513750796772</v>
      </c>
      <c r="N83" s="766" t="n">
        <v>0.1048842958913875</v>
      </c>
      <c r="O83" s="437" t="n">
        <v>0.4856970967857017</v>
      </c>
      <c r="P83" s="437" t="n">
        <v>0.8676063939372943</v>
      </c>
      <c r="Q83" s="437" t="n">
        <v>1.336444131515537</v>
      </c>
      <c r="R83" s="766" t="n">
        <v>0.08058646147447228</v>
      </c>
      <c r="S83" s="766" t="n">
        <v>0.2547240480569283</v>
      </c>
      <c r="T83" s="766"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6" t="n">
        <v>0.08354653624791157</v>
      </c>
      <c r="M84" s="766" t="n">
        <v>0.08679634157552522</v>
      </c>
      <c r="N84" s="766" t="n">
        <v>0.1058361300461733</v>
      </c>
      <c r="O84" s="437" t="n">
        <v>0.2618878745868504</v>
      </c>
      <c r="P84" s="437" t="n">
        <v>0.8959411495857447</v>
      </c>
      <c r="Q84" s="437" t="n">
        <v>1.427592145866355</v>
      </c>
      <c r="R84" s="766" t="n">
        <v>0.02522146951537259</v>
      </c>
      <c r="S84" s="766" t="n">
        <v>0.131530837550503</v>
      </c>
      <c r="T84" s="766"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6" t="n">
        <v>0.1007463724299459</v>
      </c>
      <c r="M85" s="766" t="n">
        <v>0.1085721408462354</v>
      </c>
      <c r="N85" s="766" t="n">
        <v>0.1146544256520548</v>
      </c>
      <c r="O85" s="437" t="n">
        <v>0.7619373205825695</v>
      </c>
      <c r="P85" s="437" t="n">
        <v>1.308613687869716</v>
      </c>
      <c r="Q85" s="437" t="n">
        <v>1.785023602020636</v>
      </c>
      <c r="R85" s="766" t="n">
        <v>0.003053405610149675</v>
      </c>
      <c r="S85" s="766" t="n">
        <v>0.04132231404958678</v>
      </c>
      <c r="T85" s="766"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6" t="n">
        <v>0.09637620564520535</v>
      </c>
      <c r="M86" s="766" t="n">
        <v>0.1048327872776708</v>
      </c>
      <c r="N86" s="766" t="n">
        <v>0.1096618806784429</v>
      </c>
      <c r="O86" s="437" t="n">
        <v>0.7425337215659807</v>
      </c>
      <c r="P86" s="437" t="n">
        <v>1.205698786213557</v>
      </c>
      <c r="Q86" s="437" t="n">
        <v>1.877224043441405</v>
      </c>
      <c r="R86" s="766" t="n">
        <v>0.01783689040107228</v>
      </c>
      <c r="S86" s="766" t="n">
        <v>0.08799999999999999</v>
      </c>
      <c r="T86" s="766"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6" t="n">
        <v>0.09744367380212228</v>
      </c>
      <c r="M87" s="766" t="n">
        <v>0.1053022598065645</v>
      </c>
      <c r="N87" s="766" t="n">
        <v>0.1106470044818328</v>
      </c>
      <c r="O87" s="437" t="n">
        <v>0.689953200263927</v>
      </c>
      <c r="P87" s="437" t="n">
        <v>1.157974733301631</v>
      </c>
      <c r="Q87" s="437" t="n">
        <v>1.734772861380218</v>
      </c>
      <c r="R87" s="766" t="n">
        <v>0.002678529006509241</v>
      </c>
      <c r="S87" s="766" t="n">
        <v>0.02940997381720757</v>
      </c>
      <c r="T87" s="766"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6" t="n">
        <v>0.08792334520885384</v>
      </c>
      <c r="M88" s="766" t="n">
        <v>0.09382442616800828</v>
      </c>
      <c r="N88" s="766" t="n">
        <v>0.114034389437253</v>
      </c>
      <c r="O88" s="437" t="n">
        <v>0.6168803328960546</v>
      </c>
      <c r="P88" s="437" t="n">
        <v>1.144180935752917</v>
      </c>
      <c r="Q88" s="437" t="n">
        <v>1.614821422538262</v>
      </c>
      <c r="R88" s="766" t="n">
        <v>0.04342190537913157</v>
      </c>
      <c r="S88" s="766" t="n">
        <v>0.2336756002251175</v>
      </c>
      <c r="T88" s="766"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6" t="n">
        <v>0.06806752705099503</v>
      </c>
      <c r="M89" s="766" t="n">
        <v>0.07453135609288289</v>
      </c>
      <c r="N89" s="766" t="n">
        <v>0.08745880456011318</v>
      </c>
      <c r="O89" s="437" t="n">
        <v>0.3560402567987587</v>
      </c>
      <c r="P89" s="437" t="n">
        <v>0.7000595104520712</v>
      </c>
      <c r="Q89" s="437" t="n">
        <v>1.142183985941259</v>
      </c>
      <c r="R89" s="766" t="n">
        <v>0.04674345367629924</v>
      </c>
      <c r="S89" s="766" t="n">
        <v>0.2271125994868003</v>
      </c>
      <c r="T89" s="766"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6" t="n">
        <v>0.09291137856426393</v>
      </c>
      <c r="M90" s="766" t="n">
        <v>0.1021127163557362</v>
      </c>
      <c r="N90" s="766" t="n">
        <v>0.1044950010005805</v>
      </c>
      <c r="O90" s="437" t="n">
        <v>0.6528983223541794</v>
      </c>
      <c r="P90" s="437" t="n">
        <v>1.099982499945418</v>
      </c>
      <c r="Q90" s="437" t="n">
        <v>1.656834221410225</v>
      </c>
      <c r="R90" s="766" t="n">
        <v>0.01331319044471721</v>
      </c>
      <c r="S90" s="766" t="n">
        <v>0.08842443729903537</v>
      </c>
      <c r="T90" s="766"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6" t="n">
        <v>0.06330644360792485</v>
      </c>
      <c r="M91" s="766" t="n">
        <v>0.06879744565351252</v>
      </c>
      <c r="N91" s="766" t="n">
        <v>0.08093007882844112</v>
      </c>
      <c r="O91" s="437" t="n">
        <v>0.3597801244440085</v>
      </c>
      <c r="P91" s="437" t="n">
        <v>0.776969645728087</v>
      </c>
      <c r="Q91" s="437" t="n">
        <v>1.191754966383076</v>
      </c>
      <c r="R91" s="766" t="n">
        <v>0.08267108167770421</v>
      </c>
      <c r="S91" s="766" t="n">
        <v>0.2274733716489288</v>
      </c>
      <c r="T91" s="766"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6" t="n">
        <v>0.06443476105256096</v>
      </c>
      <c r="M92" s="766" t="n">
        <v>0.07355080812421216</v>
      </c>
      <c r="N92" s="766" t="n">
        <v>0.09358818645996324</v>
      </c>
      <c r="O92" s="437" t="n">
        <v>0.2152123835857444</v>
      </c>
      <c r="P92" s="437" t="n">
        <v>0.5277019396298577</v>
      </c>
      <c r="Q92" s="437" t="n">
        <v>0.9767902002696988</v>
      </c>
      <c r="R92" s="766" t="n">
        <v>0.001597979082740869</v>
      </c>
      <c r="S92" s="766" t="n">
        <v>0.0672225117248567</v>
      </c>
      <c r="T92" s="766"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6" t="n">
        <v>0.07698267131574446</v>
      </c>
      <c r="M93" s="766" t="n">
        <v>0.0836946495333374</v>
      </c>
      <c r="N93" s="766" t="n">
        <v>0.09567886012560207</v>
      </c>
      <c r="O93" s="437" t="n">
        <v>0.4445828375427921</v>
      </c>
      <c r="P93" s="437" t="n">
        <v>0.8979395946443616</v>
      </c>
      <c r="Q93" s="437" t="n">
        <v>1.399633323807357</v>
      </c>
      <c r="R93" s="766" t="n">
        <v>0.021092820930087</v>
      </c>
      <c r="S93" s="766" t="n">
        <v>0.1551495896213926</v>
      </c>
      <c r="T93" s="766"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6" t="n">
        <v>0.06118119399783414</v>
      </c>
      <c r="M94" s="766" t="n">
        <v>0.06424920615601934</v>
      </c>
      <c r="N94" s="766" t="n">
        <v>0.06648754230255649</v>
      </c>
      <c r="O94" s="437" t="n">
        <v>0.1828397917521003</v>
      </c>
      <c r="P94" s="437" t="n">
        <v>0.6028933787407033</v>
      </c>
      <c r="Q94" s="437" t="n">
        <v>0.9906035137492779</v>
      </c>
      <c r="R94" s="766" t="n">
        <v>0.1724910394265233</v>
      </c>
      <c r="S94" s="766" t="n">
        <v>0.4271493352764663</v>
      </c>
      <c r="T94" s="766"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6" t="n">
        <v>0.07675886351931402</v>
      </c>
      <c r="M95" s="766" t="n">
        <v>0.08289941682706388</v>
      </c>
      <c r="N95" s="766" t="n">
        <v>0.1020702213315716</v>
      </c>
      <c r="O95" s="437" t="n">
        <v>0.5313954068444727</v>
      </c>
      <c r="P95" s="437" t="n">
        <v>0.9499119195296295</v>
      </c>
      <c r="Q95" s="437" t="n">
        <v>1.30838292779792</v>
      </c>
      <c r="R95" s="766" t="n">
        <v>0.140495867768595</v>
      </c>
      <c r="S95" s="766" t="n">
        <v>0.2657023220403502</v>
      </c>
      <c r="T95" s="766"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6" t="n">
        <v>0.05683301936089966</v>
      </c>
      <c r="M96" s="766" t="n">
        <v>0.05923308250939412</v>
      </c>
      <c r="N96" s="766" t="n">
        <v>0.06431130618143588</v>
      </c>
      <c r="O96" s="437" t="n">
        <v>0.4677605532147335</v>
      </c>
      <c r="P96" s="437" t="n">
        <v>0.6102849676955249</v>
      </c>
      <c r="Q96" s="437" t="n">
        <v>0.9922063141686707</v>
      </c>
      <c r="R96" s="766" t="n">
        <v>0.3375956732885941</v>
      </c>
      <c r="S96" s="766" t="n">
        <v>0.4599175129102693</v>
      </c>
      <c r="T96" s="766"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6" t="n">
        <v>0.05878584302753442</v>
      </c>
      <c r="M97" s="766" t="n">
        <v>0.06229838286605245</v>
      </c>
      <c r="N97" s="766" t="n">
        <v>0.06684683461807117</v>
      </c>
      <c r="O97" s="437" t="n">
        <v>0.4211236677680427</v>
      </c>
      <c r="P97" s="437" t="n">
        <v>0.6038672004336629</v>
      </c>
      <c r="Q97" s="437" t="n">
        <v>0.9149026352085849</v>
      </c>
      <c r="R97" s="766" t="n">
        <v>0.06670579029733958</v>
      </c>
      <c r="S97" s="766" t="n">
        <v>0.3233525957200156</v>
      </c>
      <c r="T97" s="766"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590" min="2" max="2"/>
    <col width="19.85546875" bestFit="1" customWidth="1" style="590" min="3" max="3"/>
    <col width="22.140625" bestFit="1" customWidth="1" style="590" min="4" max="4"/>
    <col width="14.140625" bestFit="1" customWidth="1" min="5" max="5"/>
  </cols>
  <sheetData>
    <row r="1">
      <c r="A1" s="767" t="inlineStr">
        <is>
          <t xml:space="preserve">If you are midway through a year, and want to compute updated trailing twelve month numbers, this worksheet may help. You will need your most recent quartely financials (or 10Q) as well as your most recent annual (or 10K). </t>
        </is>
      </c>
      <c r="B1" s="768" t="n"/>
      <c r="C1" s="768" t="n"/>
      <c r="D1" s="768" t="n"/>
      <c r="E1" s="768" t="n"/>
      <c r="F1" s="769" t="n"/>
    </row>
    <row r="2">
      <c r="A2" s="770" t="n"/>
      <c r="F2" s="771" t="n"/>
    </row>
    <row r="3">
      <c r="A3" s="770" t="n"/>
      <c r="F3" s="771" t="n"/>
    </row>
    <row r="4" ht="14.1" customHeight="1" thickBot="1">
      <c r="A4" s="772" t="n"/>
      <c r="B4" s="773" t="n"/>
      <c r="C4" s="773" t="n"/>
      <c r="D4" s="773" t="n"/>
      <c r="E4" s="773" t="n"/>
      <c r="F4" s="774"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5" t="n">
        <v>15794.34</v>
      </c>
      <c r="C7" s="775" t="n">
        <v>7608.13</v>
      </c>
      <c r="D7" s="775" t="n">
        <v>9444.110000000001</v>
      </c>
      <c r="E7" s="776">
        <f>B7-C7+D7</f>
        <v/>
      </c>
    </row>
    <row r="8" ht="14.1" customHeight="1">
      <c r="A8" s="36" t="inlineStr">
        <is>
          <t>Technology &amp; Content</t>
        </is>
      </c>
      <c r="B8" s="775" t="n">
        <v>1221.81</v>
      </c>
      <c r="C8" s="775" t="n">
        <v>581.41</v>
      </c>
      <c r="D8" s="775" t="n">
        <v>756</v>
      </c>
      <c r="E8" s="776">
        <f>B8-C8+D8</f>
        <v/>
      </c>
    </row>
    <row r="9" ht="14.1" customHeight="1">
      <c r="A9" s="36" t="inlineStr">
        <is>
          <t>Operating income or EBIT</t>
        </is>
      </c>
      <c r="B9" s="775" t="n">
        <v>1605.23</v>
      </c>
      <c r="C9" s="775" t="n">
        <v>908.79</v>
      </c>
      <c r="D9" s="775" t="n">
        <v>1165.5</v>
      </c>
      <c r="E9" s="776">
        <f>B9-C9+D9</f>
        <v/>
      </c>
    </row>
    <row r="10" ht="14.1" customHeight="1">
      <c r="A10" s="36" t="inlineStr">
        <is>
          <t>Interest expenses</t>
        </is>
      </c>
      <c r="B10" s="775" t="n">
        <v>420.49</v>
      </c>
      <c r="C10" s="775" t="n">
        <v>182.82</v>
      </c>
      <c r="D10" s="775" t="n">
        <v>287.56</v>
      </c>
      <c r="E10" s="776">
        <f>B10-C10+D10</f>
        <v/>
      </c>
    </row>
    <row r="11" ht="14.1" customHeight="1">
      <c r="A11" s="36" t="inlineStr">
        <is>
          <t>Book value of equity</t>
        </is>
      </c>
      <c r="B11" s="775" t="n">
        <v>5238.77</v>
      </c>
      <c r="C11" s="775" t="n"/>
      <c r="D11" s="775" t="n">
        <v>6105.55</v>
      </c>
      <c r="E11" s="776" t="n"/>
    </row>
    <row r="12" ht="14.1" customHeight="1">
      <c r="A12" s="36" t="inlineStr">
        <is>
          <t>Book value of debt</t>
        </is>
      </c>
      <c r="B12" s="775" t="n">
        <v>10360</v>
      </c>
      <c r="C12" s="775" t="n"/>
      <c r="D12" s="775" t="n">
        <v>12594.14</v>
      </c>
      <c r="E12" s="776" t="n"/>
    </row>
    <row r="13" ht="14.1" customHeight="1">
      <c r="A13" s="36" t="inlineStr">
        <is>
          <t>Do you have operating lease commitments?</t>
        </is>
      </c>
      <c r="B13" s="775" t="n"/>
      <c r="C13" s="775" t="n"/>
      <c r="D13" s="775" t="n"/>
      <c r="E13" s="776" t="n"/>
    </row>
    <row r="14" ht="14.1" customHeight="1">
      <c r="A14" s="36" t="inlineStr">
        <is>
          <t>Cash and cross holdings</t>
        </is>
      </c>
      <c r="B14" s="775" t="n">
        <v>3794.48</v>
      </c>
      <c r="C14" s="775" t="n"/>
      <c r="D14" s="775" t="n">
        <v>5004.25</v>
      </c>
      <c r="E14" s="776" t="n"/>
    </row>
    <row r="15" ht="14.1" customHeight="1">
      <c r="A15" s="36" t="inlineStr">
        <is>
          <t xml:space="preserve">Non-operating assets </t>
        </is>
      </c>
      <c r="B15" s="775" t="n">
        <v>0</v>
      </c>
      <c r="C15" s="775" t="n"/>
      <c r="D15" s="775" t="n">
        <v>0</v>
      </c>
      <c r="E15" s="776" t="n"/>
    </row>
    <row r="16" ht="14.1" customHeight="1">
      <c r="A16" s="36" t="inlineStr">
        <is>
          <t>Minority interests</t>
        </is>
      </c>
      <c r="B16" s="775" t="n">
        <v>0</v>
      </c>
      <c r="C16" s="775" t="n"/>
      <c r="D16" s="775" t="n">
        <v>0</v>
      </c>
      <c r="E16" s="776" t="n"/>
    </row>
    <row r="17" ht="14.1" customHeight="1">
      <c r="A17" s="36" t="inlineStr">
        <is>
          <t>Number of shares outstanding =</t>
        </is>
      </c>
      <c r="B17" s="775" t="n"/>
      <c r="C17" s="775" t="n"/>
      <c r="D17" s="775" t="n"/>
      <c r="E17" s="776" t="n"/>
    </row>
    <row r="18" ht="14.1" customHeight="1">
      <c r="A18" s="36" t="inlineStr">
        <is>
          <t>Current stock price =</t>
        </is>
      </c>
      <c r="B18" s="777" t="n"/>
      <c r="C18" s="775" t="n"/>
      <c r="D18" s="775" t="n"/>
      <c r="E18" s="776" t="n"/>
    </row>
    <row r="19" ht="14.1" customHeight="1">
      <c r="A19" s="36" t="inlineStr">
        <is>
          <t>Effective tax rate =</t>
        </is>
      </c>
      <c r="B19" s="94">
        <f>15885/61372</f>
        <v/>
      </c>
      <c r="C19" s="94">
        <f>6965/27030</f>
        <v/>
      </c>
      <c r="D19" s="94">
        <f>3941/23906</f>
        <v/>
      </c>
      <c r="E19" s="1" t="n"/>
    </row>
    <row r="20" ht="14.1" customHeight="1">
      <c r="A20" s="36" t="inlineStr">
        <is>
          <t>Marginal tax rate =</t>
        </is>
      </c>
      <c r="B20" s="80" t="n"/>
      <c r="C20" s="80" t="n"/>
      <c r="D20" s="80" t="n"/>
      <c r="E20" s="1" t="n"/>
    </row>
    <row r="21" ht="14.1" customFormat="1" customHeight="1" s="2">
      <c r="A21" s="37" t="inlineStr">
        <is>
          <t>Lease commitments</t>
        </is>
      </c>
      <c r="B21" s="778" t="n"/>
      <c r="C21" s="778" t="n"/>
      <c r="D21" s="778" t="n"/>
      <c r="E21" s="779" t="n"/>
    </row>
    <row r="22" ht="14.1" customHeight="1">
      <c r="A22" s="35" t="inlineStr">
        <is>
          <t>Year 1</t>
        </is>
      </c>
      <c r="B22" s="780" t="n">
        <v>172.47</v>
      </c>
      <c r="C22" s="781" t="n"/>
      <c r="D22" s="781" t="inlineStr">
        <is>
          <t>NA</t>
        </is>
      </c>
      <c r="E22" s="782" t="n"/>
    </row>
    <row r="23" ht="14.1" customHeight="1">
      <c r="A23" s="35" t="inlineStr">
        <is>
          <t>Year 2</t>
        </is>
      </c>
      <c r="B23" s="780" t="n">
        <v>139.4</v>
      </c>
      <c r="C23" s="783" t="inlineStr">
        <is>
          <t>Copy into operating lease worksheet</t>
        </is>
      </c>
      <c r="D23" s="781" t="inlineStr">
        <is>
          <t>NA</t>
        </is>
      </c>
      <c r="E23" s="782" t="n"/>
    </row>
    <row r="24" ht="14.1" customHeight="1">
      <c r="A24" s="35" t="inlineStr">
        <is>
          <t>Year 3</t>
        </is>
      </c>
      <c r="B24" s="780" t="n">
        <v>145.18</v>
      </c>
      <c r="C24" s="659" t="n"/>
      <c r="D24" s="781" t="inlineStr">
        <is>
          <t>NA</t>
        </is>
      </c>
      <c r="E24" s="782" t="n"/>
    </row>
    <row r="25" ht="14.1" customHeight="1">
      <c r="A25" s="35" t="inlineStr">
        <is>
          <t>Year 4</t>
        </is>
      </c>
      <c r="B25" s="780" t="n">
        <v>156.53</v>
      </c>
      <c r="C25" s="659" t="n"/>
      <c r="D25" s="781" t="inlineStr">
        <is>
          <t>NA</t>
        </is>
      </c>
      <c r="E25" s="782" t="n"/>
    </row>
    <row r="26" ht="14.1" customHeight="1">
      <c r="A26" s="35" t="inlineStr">
        <is>
          <t>Year 5</t>
        </is>
      </c>
      <c r="B26" s="780" t="n">
        <v>151.2</v>
      </c>
      <c r="C26" s="659" t="n"/>
      <c r="D26" s="781" t="inlineStr">
        <is>
          <t>NA</t>
        </is>
      </c>
      <c r="E26" s="782" t="n"/>
    </row>
    <row r="27" ht="14.1" customHeight="1">
      <c r="A27" s="35" t="inlineStr">
        <is>
          <t>Beyond year 5</t>
        </is>
      </c>
      <c r="B27" s="144" t="n">
        <v>943.63</v>
      </c>
      <c r="C27" s="659" t="n"/>
      <c r="D27" s="781" t="inlineStr">
        <is>
          <t>NA</t>
        </is>
      </c>
      <c r="E27" s="782" t="n"/>
    </row>
    <row r="28">
      <c r="B28" s="784" t="n"/>
      <c r="C28" s="659" t="n"/>
      <c r="D28" s="590" t="n"/>
    </row>
    <row r="30" ht="14.1" customHeight="1">
      <c r="A30" s="35" t="inlineStr">
        <is>
          <t>Current year's lease expense</t>
        </is>
      </c>
      <c r="B30" s="785" t="n">
        <v>107</v>
      </c>
      <c r="C30" s="590" t="n"/>
      <c r="D30" s="590" t="n"/>
    </row>
    <row r="34">
      <c r="B34" s="590" t="n"/>
      <c r="C34" s="590" t="n"/>
      <c r="D34" s="775" t="n">
        <v>75872</v>
      </c>
    </row>
    <row r="35">
      <c r="B35" s="590" t="n"/>
      <c r="C35" s="590" t="n"/>
      <c r="D35" s="775" t="n">
        <v>2404</v>
      </c>
    </row>
    <row r="36">
      <c r="B36" s="590" t="n"/>
      <c r="C36" s="590" t="n"/>
      <c r="D36" s="775" t="n">
        <v>24171</v>
      </c>
    </row>
    <row r="37">
      <c r="B37" s="590" t="n"/>
      <c r="C37" s="590" t="n"/>
      <c r="D37" s="775" t="n">
        <v>276</v>
      </c>
    </row>
    <row r="41">
      <c r="A41" t="inlineStr">
        <is>
          <t>G&amp;A</t>
        </is>
      </c>
      <c r="B41" s="590" t="n">
        <v>630.29</v>
      </c>
      <c r="C41" s="590" t="n">
        <v>286.14</v>
      </c>
      <c r="D41" s="590" t="n">
        <v>426.61</v>
      </c>
      <c r="E41">
        <f>B41-C41+D41</f>
        <v/>
      </c>
    </row>
    <row r="42">
      <c r="A42" t="inlineStr">
        <is>
          <t>Marketing Costs</t>
        </is>
      </c>
      <c r="B42" s="590" t="n">
        <v>2369.47</v>
      </c>
      <c r="C42" s="590" t="n">
        <v>1128.78</v>
      </c>
      <c r="D42" s="590" t="n">
        <v>1219.73</v>
      </c>
      <c r="E42">
        <f>B42-C42+D42</f>
        <v/>
      </c>
    </row>
    <row r="43">
      <c r="A43" t="inlineStr">
        <is>
          <t>Content Costs</t>
        </is>
      </c>
      <c r="B43" s="590" t="n">
        <v>9967.540000000001</v>
      </c>
      <c r="C43" s="590" t="n">
        <v>4703.01</v>
      </c>
      <c r="D43" s="590" t="n">
        <v>5876.21</v>
      </c>
      <c r="E43">
        <f>B43-C43+D43</f>
        <v/>
      </c>
    </row>
    <row r="45">
      <c r="A45" t="inlineStr">
        <is>
          <t>Content Costs (Cash Flows)</t>
        </is>
      </c>
      <c r="B45" s="590" t="n">
        <v>13043</v>
      </c>
      <c r="C45" s="590" t="n">
        <v>6020.47</v>
      </c>
      <c r="D45" s="590"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2025-08-03T21:09:02Z</dcterms:modified>
  <cp:lastModifiedBy>Vitor Saito</cp:lastModifiedBy>
</cp:coreProperties>
</file>