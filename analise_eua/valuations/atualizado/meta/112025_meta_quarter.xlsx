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0" yWindow="760" windowWidth="30240" windowHeight="18880" tabRatio="772" firstSheet="0" activeTab="2" autoFilterDateGrouping="1"/>
  </bookViews>
  <sheets>
    <sheet xmlns:r="http://schemas.openxmlformats.org/officeDocument/2006/relationships" name="Input sheet" sheetId="1" state="visible" r:id="rId1"/>
    <sheet xmlns:r="http://schemas.openxmlformats.org/officeDocument/2006/relationships" name="Valuation output" sheetId="2" state="visible" r:id="rId2"/>
    <sheet xmlns:r="http://schemas.openxmlformats.org/officeDocument/2006/relationships" name="Stories to Numbers" sheetId="3" state="visible" r:id="rId3"/>
    <sheet xmlns:r="http://schemas.openxmlformats.org/officeDocument/2006/relationships" name="Valuation as picture" sheetId="4" state="visible" r:id="rId4"/>
    <sheet xmlns:r="http://schemas.openxmlformats.org/officeDocument/2006/relationships" name="Diagnostics" sheetId="5" state="visible" r:id="rId5"/>
    <sheet xmlns:r="http://schemas.openxmlformats.org/officeDocument/2006/relationships" name="Option value" sheetId="6" state="visible" r:id="rId6"/>
    <sheet xmlns:r="http://schemas.openxmlformats.org/officeDocument/2006/relationships" name="Synthetic rating" sheetId="7" state="visible" r:id="rId7"/>
    <sheet xmlns:r="http://schemas.openxmlformats.org/officeDocument/2006/relationships" name="R&amp; D converter" sheetId="8" state="visible" r:id="rId8"/>
    <sheet xmlns:r="http://schemas.openxmlformats.org/officeDocument/2006/relationships" name="Operating lease converter" sheetId="9" state="visible" r:id="rId9"/>
    <sheet xmlns:r="http://schemas.openxmlformats.org/officeDocument/2006/relationships" name="Cost of capital worksheet" sheetId="10" state="visible" r:id="rId10"/>
    <sheet xmlns:r="http://schemas.openxmlformats.org/officeDocument/2006/relationships" name="Failure Rate worksheet" sheetId="11" state="visible" r:id="rId11"/>
    <sheet xmlns:r="http://schemas.openxmlformats.org/officeDocument/2006/relationships" name="Country equity risk premiums" sheetId="12" state="visible" r:id="rId12"/>
    <sheet xmlns:r="http://schemas.openxmlformats.org/officeDocument/2006/relationships" name="Industry Averages(US)" sheetId="13" state="visible" r:id="rId13"/>
    <sheet xmlns:r="http://schemas.openxmlformats.org/officeDocument/2006/relationships" name="Industry Average Beta (Global)" sheetId="14" state="visible" r:id="rId14"/>
    <sheet xmlns:r="http://schemas.openxmlformats.org/officeDocument/2006/relationships" name="Input Stat Distributioons" sheetId="15" state="visible" r:id="rId15"/>
    <sheet xmlns:r="http://schemas.openxmlformats.org/officeDocument/2006/relationships" name="Trailing 12 month Worskheet" sheetId="16" state="visible" r:id="rId16"/>
    <sheet xmlns:r="http://schemas.openxmlformats.org/officeDocument/2006/relationships" name="Answer keys" sheetId="17" state="visible" r:id="rId17"/>
  </sheets>
  <definedNames/>
  <calcPr calcId="191029" fullCalcOnLoad="1" iterate="1"/>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quot;$&quot;#,##0.00"/>
    <numFmt numFmtId="167" formatCode="_(&quot;$&quot;* #,##0_);_(&quot;$&quot;* \(#,##0\);_(&quot;$&quot;* &quot;-&quot;??_);_(@_)"/>
    <numFmt numFmtId="168" formatCode="0.0000"/>
    <numFmt numFmtId="169" formatCode="0.0000%"/>
    <numFmt numFmtId="170" formatCode="_([$$-409]* #,##0.00_);_([$$-409]* \(#,##0.00\);_([$$-409]* &quot;-&quot;??_);_(@_)"/>
    <numFmt numFmtId="171" formatCode="0.000%"/>
    <numFmt numFmtId="172" formatCode="_(* #,##0.0_);_(* \(#,##0.0\)_)\ ;_(* 0_)"/>
    <numFmt numFmtId="173" formatCode="[$₩-412]#,##0.00"/>
    <numFmt numFmtId="174" formatCode="0.0%"/>
    <numFmt numFmtId="175" formatCode="#,##0.0000"/>
    <numFmt numFmtId="176" formatCode="&quot;$&quot;#,##0_);[Red]\(&quot;$&quot;#,##0\)"/>
    <numFmt numFmtId="177" formatCode="&quot;$&quot;#,##0"/>
    <numFmt numFmtId="178" formatCode="#,##0.00%"/>
  </numFmts>
  <fonts count="97">
    <font>
      <name val="Geneva"/>
      <charset val="1"/>
      <family val="2"/>
      <sz val="9"/>
    </font>
    <font>
      <name val="Calibri"/>
      <family val="2"/>
      <color theme="1"/>
      <sz val="12"/>
      <scheme val="minor"/>
    </font>
    <font>
      <name val="Geneva"/>
      <charset val="1"/>
      <family val="2"/>
      <i val="1"/>
      <sz val="9"/>
    </font>
    <font>
      <name val="Geneva"/>
      <charset val="1"/>
      <family val="2"/>
      <sz val="9"/>
    </font>
    <font>
      <name val="Geneva"/>
      <charset val="1"/>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charset val="1"/>
      <family val="2"/>
      <i val="1"/>
      <sz val="10"/>
    </font>
    <font>
      <name val="Times"/>
      <family val="1"/>
      <b val="1"/>
      <sz val="10"/>
    </font>
    <font>
      <name val="Geneva"/>
      <charset val="1"/>
      <family val="2"/>
      <color indexed="81"/>
      <sz val="9"/>
    </font>
    <font>
      <name val="Geneva"/>
      <charset val="1"/>
      <family val="2"/>
      <b val="1"/>
      <color indexed="81"/>
      <sz val="9"/>
    </font>
    <font>
      <name val="Times"/>
      <family val="1"/>
      <b val="1"/>
      <sz val="12"/>
    </font>
    <font>
      <name val="Geneva"/>
      <charset val="1"/>
      <family val="2"/>
      <sz val="10"/>
    </font>
    <font>
      <name val="Times"/>
      <family val="1"/>
      <i val="1"/>
      <sz val="12"/>
    </font>
    <font>
      <name val="Times"/>
      <family val="1"/>
      <sz val="12"/>
    </font>
    <font>
      <name val="Times"/>
      <family val="1"/>
      <b val="1"/>
      <i val="1"/>
      <sz val="12"/>
      <u val="single"/>
    </font>
    <font>
      <name val="Helv"/>
      <sz val="10"/>
    </font>
    <font>
      <name val="Helv"/>
      <i val="1"/>
      <sz val="10"/>
    </font>
    <font>
      <name val="Times"/>
      <family val="1"/>
      <b val="1"/>
      <i val="1"/>
      <sz val="14"/>
    </font>
    <font>
      <name val="Times"/>
      <family val="1"/>
      <b val="1"/>
      <i val="1"/>
      <sz val="12"/>
    </font>
    <font>
      <name val="Geneva"/>
      <charset val="1"/>
      <family val="2"/>
      <i val="1"/>
      <sz val="12"/>
    </font>
    <font>
      <name val="Geneva"/>
      <charset val="1"/>
      <family val="2"/>
      <b val="1"/>
      <sz val="10"/>
    </font>
    <font>
      <name val="Arial"/>
      <family val="2"/>
      <sz val="10"/>
    </font>
    <font>
      <name val="Times"/>
      <family val="1"/>
      <i val="1"/>
      <sz val="14"/>
    </font>
    <font>
      <name val="Arial"/>
      <family val="2"/>
      <sz val="8"/>
    </font>
    <font>
      <name val="Geneva"/>
      <charset val="1"/>
      <family val="2"/>
      <b val="1"/>
      <color indexed="8"/>
      <sz val="9"/>
    </font>
    <font>
      <name val="Geneva"/>
      <charset val="1"/>
      <family val="2"/>
      <color indexed="8"/>
      <sz val="9"/>
    </font>
    <font>
      <name val="Calibri"/>
      <family val="2"/>
      <b val="1"/>
      <color indexed="8"/>
      <sz val="10"/>
    </font>
    <font>
      <name val="Calibri"/>
      <family val="2"/>
      <color indexed="8"/>
      <sz val="10"/>
    </font>
    <font>
      <name val="Geneva"/>
      <charset val="1"/>
      <family val="2"/>
      <b val="1"/>
      <sz val="9"/>
    </font>
    <font>
      <name val="Geneva"/>
      <charset val="1"/>
      <family val="2"/>
      <i val="1"/>
      <sz val="10"/>
    </font>
    <font>
      <name val="Geneva"/>
      <charset val="1"/>
      <family val="2"/>
      <i val="1"/>
      <sz val="9"/>
    </font>
    <font>
      <name val="Times"/>
      <sz val="10"/>
    </font>
    <font>
      <name val="Times"/>
      <sz val="12"/>
    </font>
    <font>
      <name val="Times"/>
      <i val="1"/>
      <sz val="14"/>
    </font>
    <font>
      <name val="Times"/>
      <b val="1"/>
      <sz val="12"/>
    </font>
    <font>
      <name val="Geneva"/>
      <charset val="1"/>
      <family val="2"/>
      <sz val="12"/>
    </font>
    <font>
      <name val="Helvetica"/>
      <family val="2"/>
      <sz val="12"/>
    </font>
    <font>
      <name val="Helv"/>
      <sz val="12"/>
    </font>
    <font>
      <name val="Helv"/>
      <b val="1"/>
      <sz val="12"/>
    </font>
    <font>
      <name val="Helv"/>
      <i val="1"/>
      <sz val="12"/>
    </font>
    <font>
      <name val="Helv"/>
      <b val="1"/>
      <i val="1"/>
      <sz val="12"/>
    </font>
    <font>
      <name val="Helvetica"/>
      <family val="2"/>
      <b val="1"/>
      <i val="1"/>
      <sz val="14"/>
    </font>
    <font>
      <name val="Helvetica"/>
      <family val="2"/>
      <b val="1"/>
      <i val="1"/>
      <sz val="18"/>
    </font>
    <font>
      <name val="Helvetica"/>
      <family val="2"/>
      <b val="1"/>
      <sz val="12"/>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b val="1"/>
      <sz val="14"/>
    </font>
    <font>
      <name val="Helvetica"/>
      <family val="2"/>
      <i val="1"/>
      <sz val="12"/>
    </font>
    <font>
      <name val="Helvetica"/>
      <family val="2"/>
      <sz val="9"/>
    </font>
    <font>
      <name val="Helvetica"/>
      <family val="2"/>
      <i val="1"/>
      <sz val="10"/>
    </font>
    <font>
      <name val="Helvetica"/>
      <family val="2"/>
      <b val="1"/>
      <sz val="9"/>
    </font>
    <font>
      <name val="Times"/>
      <family val="1"/>
      <color rgb="FFFF0000"/>
      <sz val="12"/>
    </font>
    <font>
      <name val="Calibri"/>
      <family val="2"/>
      <i val="1"/>
      <color theme="1"/>
      <sz val="12"/>
      <scheme val="minor"/>
    </font>
    <font>
      <name val="Calibri"/>
      <family val="2"/>
      <sz val="12"/>
      <scheme val="minor"/>
    </font>
    <font>
      <name val="Calibri"/>
      <family val="2"/>
      <sz val="10"/>
      <scheme val="minor"/>
    </font>
    <font>
      <name val="Helvetica"/>
      <family val="2"/>
      <i val="1"/>
      <color rgb="FF000000"/>
      <sz val="12"/>
    </font>
    <font>
      <name val="Calibri"/>
      <family val="2"/>
      <b val="1"/>
      <color theme="1"/>
      <sz val="12"/>
      <scheme val="minor"/>
    </font>
    <font>
      <name val="Arial"/>
      <family val="2"/>
      <b val="1"/>
      <color rgb="FF0A0A0A"/>
      <sz val="12"/>
    </font>
    <font>
      <name val="Arial"/>
      <family val="2"/>
      <color rgb="FF0A0A0A"/>
      <sz val="12"/>
    </font>
    <font>
      <name val="Calibri"/>
      <family val="2"/>
      <color theme="1"/>
      <sz val="12"/>
      <scheme val="minor"/>
    </font>
    <font>
      <name val="Calibri"/>
      <family val="2"/>
      <color rgb="FFFF0000"/>
      <sz val="12"/>
      <scheme val="minor"/>
    </font>
    <font>
      <name val="Helv"/>
      <b val="1"/>
      <color theme="1"/>
      <sz val="12"/>
    </font>
    <font>
      <name val="Helv"/>
      <i val="1"/>
      <color rgb="FF00B050"/>
      <sz val="12"/>
    </font>
    <font>
      <name val="Helv"/>
      <i val="1"/>
      <color rgb="FFFF0000"/>
      <sz val="12"/>
    </font>
    <font>
      <name val="Helv"/>
      <color theme="1"/>
      <sz val="12"/>
    </font>
    <font>
      <name val="Helv"/>
      <i val="1"/>
      <color theme="1"/>
      <sz val="12"/>
    </font>
    <font>
      <name val="Times Roman"/>
      <color theme="1"/>
      <sz val="12"/>
    </font>
    <font>
      <name val="Times Roman"/>
      <i val="1"/>
      <color theme="1"/>
      <sz val="12"/>
    </font>
    <font>
      <name val="Helvetica"/>
      <family val="2"/>
      <b val="1"/>
      <color rgb="FF0A0A0A"/>
      <sz val="12"/>
    </font>
    <font>
      <name val="Helvetica"/>
      <family val="2"/>
      <color rgb="FF0A0A0A"/>
      <sz val="12"/>
    </font>
    <font>
      <name val="Times"/>
      <family val="1"/>
      <color theme="0"/>
      <sz val="12"/>
    </font>
    <font>
      <name val="Geneva"/>
      <charset val="1"/>
      <family val="2"/>
      <color theme="0"/>
      <sz val="9"/>
    </font>
    <font>
      <name val="Calibri"/>
      <family val="2"/>
      <i val="1"/>
      <color rgb="FFFF0000"/>
      <sz val="12"/>
    </font>
    <font>
      <name val="Geneva"/>
      <charset val="1"/>
      <family val="2"/>
      <i val="1"/>
      <color rgb="FFFF0000"/>
      <sz val="12"/>
    </font>
    <font>
      <name val="Calibri"/>
      <family val="2"/>
      <color rgb="FFFF0000"/>
      <sz val="12"/>
    </font>
    <font>
      <name val="Calibri"/>
      <family val="2"/>
      <b val="1"/>
      <i val="1"/>
      <color theme="1"/>
      <sz val="12"/>
      <scheme val="minor"/>
    </font>
    <font>
      <name val="Helvetica"/>
      <family val="2"/>
      <color rgb="FFFF0000"/>
      <sz val="12"/>
    </font>
    <font>
      <name val="Times Roman"/>
      <b val="1"/>
      <color theme="1"/>
      <sz val="14"/>
    </font>
    <font>
      <name val="Arial"/>
      <family val="2"/>
      <color theme="1"/>
      <sz val="12"/>
    </font>
    <font>
      <name val="Geneva"/>
      <charset val="1"/>
      <family val="2"/>
      <b val="1"/>
      <color rgb="FF000000"/>
      <sz val="9"/>
    </font>
    <font>
      <name val="Geneva"/>
      <charset val="1"/>
      <family val="2"/>
      <color rgb="FF000000"/>
      <sz val="9"/>
    </font>
    <font>
      <name val="Calibri"/>
      <family val="2"/>
      <b val="1"/>
      <color rgb="FF000000"/>
      <sz val="10"/>
    </font>
    <font>
      <name val="Calibri"/>
      <family val="2"/>
      <color rgb="FF000000"/>
      <sz val="10"/>
    </font>
    <font>
      <name val="Tahoma"/>
      <family val="2"/>
      <b val="1"/>
      <color rgb="FF000000"/>
      <sz val="10"/>
    </font>
    <font>
      <name val="Tahoma"/>
      <family val="2"/>
      <color rgb="FF000000"/>
      <sz val="10"/>
    </font>
  </fonts>
  <fills count="14">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
        <bgColor indexed="64"/>
      </patternFill>
    </fill>
    <fill>
      <patternFill patternType="solid">
        <fgColor theme="2"/>
        <bgColor theme="0" tint="-0.1499984740745262"/>
      </patternFill>
    </fill>
    <fill>
      <patternFill patternType="solid">
        <fgColor rgb="FF92D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
      </top>
      <bottom style="thin">
        <color theme="6" tint="0.799981688894314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style="medium">
        <color indexed="64"/>
      </right>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theme="1"/>
      </left>
      <right style="medium">
        <color theme="1"/>
      </right>
      <top style="medium">
        <color theme="1"/>
      </top>
      <bottom style="medium">
        <color theme="1"/>
      </bottom>
      <diagonal/>
    </border>
  </borders>
  <cellStyleXfs count="4">
    <xf numFmtId="0" fontId="3" fillId="0" borderId="0"/>
    <xf numFmtId="43" fontId="3" fillId="0" borderId="0"/>
    <xf numFmtId="44" fontId="3" fillId="0" borderId="0"/>
    <xf numFmtId="9" fontId="3" fillId="0" borderId="0"/>
  </cellStyleXfs>
  <cellXfs count="783">
    <xf numFmtId="0" fontId="0" fillId="0" borderId="0" pivotButton="0" quotePrefix="0" xfId="0"/>
    <xf numFmtId="0" fontId="0" fillId="0" borderId="1" pivotButton="0" quotePrefix="0" xfId="0"/>
    <xf numFmtId="0" fontId="2" fillId="0" borderId="0" pivotButton="0" quotePrefix="0" xfId="0"/>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8"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20" fillId="0" borderId="5" applyAlignment="1" pivotButton="0" quotePrefix="0" xfId="0">
      <alignment horizontal="center"/>
    </xf>
    <xf numFmtId="0" fontId="20" fillId="0" borderId="1" applyAlignment="1" pivotButton="0" quotePrefix="0" xfId="0">
      <alignment horizontal="center"/>
    </xf>
    <xf numFmtId="0" fontId="21" fillId="0" borderId="1" pivotButton="0" quotePrefix="0" xfId="0"/>
    <xf numFmtId="0" fontId="21" fillId="0" borderId="0" pivotButton="0" quotePrefix="0" xfId="0"/>
    <xf numFmtId="0" fontId="22" fillId="0" borderId="1" pivotButton="0" quotePrefix="0" xfId="0"/>
    <xf numFmtId="0" fontId="21" fillId="0" borderId="1" applyAlignment="1" pivotButton="0" quotePrefix="0" xfId="0">
      <alignment horizontal="center"/>
    </xf>
    <xf numFmtId="0" fontId="21" fillId="0" borderId="0" applyAlignment="1" pivotButton="0" quotePrefix="0" xfId="0">
      <alignment horizontal="center"/>
    </xf>
    <xf numFmtId="0" fontId="23" fillId="0" borderId="0" pivotButton="0" quotePrefix="0" xfId="0"/>
    <xf numFmtId="0" fontId="23" fillId="0" borderId="1" pivotButton="0" quotePrefix="0" xfId="0"/>
    <xf numFmtId="0" fontId="24" fillId="0" borderId="0" pivotButton="0" quotePrefix="0" xfId="0"/>
    <xf numFmtId="10" fontId="11" fillId="4" borderId="2" applyAlignment="1" pivotButton="0" quotePrefix="0" xfId="0">
      <alignment horizontal="center"/>
    </xf>
    <xf numFmtId="165" fontId="11" fillId="2" borderId="2" pivotButton="0" quotePrefix="0" xfId="0"/>
    <xf numFmtId="0" fontId="21" fillId="5" borderId="1" pivotButton="0" quotePrefix="0" xfId="0"/>
    <xf numFmtId="10" fontId="21" fillId="5" borderId="1" applyAlignment="1" pivotButton="0" quotePrefix="0" xfId="3">
      <alignment horizontal="center"/>
    </xf>
    <xf numFmtId="10" fontId="21" fillId="5"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0" fontId="21" fillId="5" borderId="1" pivotButton="0" quotePrefix="0" xfId="3"/>
    <xf numFmtId="10" fontId="21" fillId="5" borderId="1" pivotButton="0" quotePrefix="0" xfId="2"/>
    <xf numFmtId="10" fontId="21" fillId="5" borderId="1" applyAlignment="1" pivotButton="0" quotePrefix="0" xfId="2">
      <alignment horizontal="center"/>
    </xf>
    <xf numFmtId="164" fontId="21" fillId="5" borderId="1" applyAlignment="1" pivotButton="0" quotePrefix="0" xfId="0">
      <alignment horizontal="center"/>
    </xf>
    <xf numFmtId="0" fontId="21" fillId="5" borderId="1" applyAlignment="1" pivotButton="0" quotePrefix="0" xfId="0">
      <alignment horizontal="center"/>
    </xf>
    <xf numFmtId="164" fontId="21" fillId="5" borderId="1" pivotButton="0" quotePrefix="0" xfId="0"/>
    <xf numFmtId="10" fontId="21" fillId="5" borderId="1" pivotButton="0" quotePrefix="0" xfId="0"/>
    <xf numFmtId="166" fontId="21" fillId="5" borderId="1" pivotButton="0" quotePrefix="0" xfId="0"/>
    <xf numFmtId="165" fontId="21" fillId="5" borderId="1" pivotButton="0" quotePrefix="0" xfId="0"/>
    <xf numFmtId="43" fontId="21" fillId="5" borderId="1" pivotButton="0" quotePrefix="0" xfId="1"/>
    <xf numFmtId="164" fontId="63" fillId="5" borderId="1" pivotButton="0" quotePrefix="0" xfId="2"/>
    <xf numFmtId="2" fontId="21" fillId="5" borderId="1" applyAlignment="1" pivotButton="0" quotePrefix="0" xfId="0">
      <alignment horizontal="center"/>
    </xf>
    <xf numFmtId="167" fontId="21" fillId="5" borderId="1" pivotButton="0" quotePrefix="0" xfId="0"/>
    <xf numFmtId="167" fontId="21" fillId="5" borderId="1" applyAlignment="1" pivotButton="0" quotePrefix="0" xfId="0">
      <alignment horizontal="center"/>
    </xf>
    <xf numFmtId="0" fontId="25"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5" borderId="1" pivotButton="0" quotePrefix="0" xfId="0"/>
    <xf numFmtId="164" fontId="11" fillId="5" borderId="1" pivotButton="0" quotePrefix="0" xfId="0"/>
    <xf numFmtId="164" fontId="11" fillId="5" borderId="1" pivotButton="0" quotePrefix="0" xfId="2"/>
    <xf numFmtId="10" fontId="11" fillId="5" borderId="1" pivotButton="0" quotePrefix="0" xfId="3"/>
    <xf numFmtId="10" fontId="11" fillId="5" borderId="3" pivotButton="0" quotePrefix="0" xfId="0"/>
    <xf numFmtId="10" fontId="11" fillId="5" borderId="1" pivotButton="0" quotePrefix="0" xfId="0"/>
    <xf numFmtId="10" fontId="11" fillId="5" borderId="6" pivotButton="0" quotePrefix="0" xfId="3"/>
    <xf numFmtId="10" fontId="11" fillId="5" borderId="2" pivotButton="0" quotePrefix="0" xfId="3"/>
    <xf numFmtId="2" fontId="11" fillId="5" borderId="1" pivotButton="0" quotePrefix="0" xfId="2"/>
    <xf numFmtId="0" fontId="26" fillId="0" borderId="0" pivotButton="0" quotePrefix="0" xfId="0"/>
    <xf numFmtId="0" fontId="27" fillId="0" borderId="0" pivotButton="0" quotePrefix="0" xfId="0"/>
    <xf numFmtId="0" fontId="19" fillId="0" borderId="0" pivotButton="0" quotePrefix="0" xfId="0"/>
    <xf numFmtId="0" fontId="11" fillId="3" borderId="1" applyAlignment="1" pivotButton="0" quotePrefix="0" xfId="0">
      <alignment horizontal="center"/>
    </xf>
    <xf numFmtId="0" fontId="29" fillId="0" borderId="0" pivotButton="0" quotePrefix="0" xfId="0"/>
    <xf numFmtId="0" fontId="7" fillId="6" borderId="0" pivotButton="0" quotePrefix="0" xfId="0"/>
    <xf numFmtId="0" fontId="29" fillId="0" borderId="7" pivotButton="0" quotePrefix="0" xfId="0"/>
    <xf numFmtId="168" fontId="21" fillId="5" borderId="1" applyAlignment="1" pivotButton="0" quotePrefix="0" xfId="0">
      <alignment horizontal="center"/>
    </xf>
    <xf numFmtId="0" fontId="0" fillId="0" borderId="1" applyAlignment="1" pivotButton="0" quotePrefix="0" xfId="0">
      <alignment horizontal="center"/>
    </xf>
    <xf numFmtId="0" fontId="11" fillId="4" borderId="1" pivotButton="0" quotePrefix="0" xfId="0"/>
    <xf numFmtId="0" fontId="11" fillId="5" borderId="1" pivotButton="0" quotePrefix="0" xfId="0"/>
    <xf numFmtId="0" fontId="12" fillId="0" borderId="1" pivotButton="0" quotePrefix="0" xfId="0"/>
    <xf numFmtId="169" fontId="11" fillId="5" borderId="1" pivotButton="0" quotePrefix="0" xfId="3"/>
    <xf numFmtId="169" fontId="11" fillId="5" borderId="1" pivotButton="0" quotePrefix="0" xfId="0"/>
    <xf numFmtId="2"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0" fontId="0" fillId="5" borderId="1" pivotButton="0" quotePrefix="0" xfId="0"/>
    <xf numFmtId="170" fontId="3" fillId="5" borderId="1" pivotButton="0" quotePrefix="0" xfId="2"/>
    <xf numFmtId="168" fontId="0" fillId="5"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6" fontId="0" fillId="4" borderId="1" applyAlignment="1" pivotButton="0" quotePrefix="0" xfId="0">
      <alignment horizontal="center"/>
    </xf>
    <xf numFmtId="2" fontId="11" fillId="0" borderId="0"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0" fillId="0" borderId="0" applyAlignment="1" pivotButton="0" quotePrefix="0" xfId="0">
      <alignment horizontal="center"/>
    </xf>
    <xf numFmtId="166" fontId="0" fillId="0" borderId="0" pivotButton="0" quotePrefix="0" xfId="0"/>
    <xf numFmtId="166" fontId="2" fillId="0" borderId="0" applyAlignment="1" pivotButton="0" quotePrefix="0" xfId="0">
      <alignment horizontal="center"/>
    </xf>
    <xf numFmtId="166" fontId="2" fillId="0" borderId="0" pivotButton="0" quotePrefix="0" xfId="0"/>
    <xf numFmtId="10" fontId="11" fillId="4" borderId="1" applyAlignment="1" pivotButton="0" quotePrefix="0" xfId="0">
      <alignment horizontal="center"/>
    </xf>
    <xf numFmtId="10" fontId="11" fillId="5" borderId="1" applyAlignment="1" pivotButton="0" quotePrefix="0" xfId="0">
      <alignment horizontal="center"/>
    </xf>
    <xf numFmtId="171" fontId="11" fillId="3" borderId="1" pivotButton="0" quotePrefix="0" xfId="0"/>
    <xf numFmtId="9" fontId="11" fillId="5" borderId="1" applyAlignment="1" pivotButton="0" quotePrefix="0" xfId="0">
      <alignment horizontal="center"/>
    </xf>
    <xf numFmtId="0" fontId="30" fillId="0" borderId="0" pivotButton="0" quotePrefix="0" xfId="0"/>
    <xf numFmtId="2" fontId="11" fillId="4" borderId="1" pivotButton="0" quotePrefix="0" xfId="0"/>
    <xf numFmtId="0" fontId="25" fillId="0" borderId="0" applyAlignment="1" pivotButton="0" quotePrefix="0" xfId="0">
      <alignment horizontal="left"/>
    </xf>
    <xf numFmtId="166" fontId="0" fillId="5" borderId="1" pivotButton="0" quotePrefix="0" xfId="0"/>
    <xf numFmtId="0" fontId="2" fillId="0" borderId="1" applyAlignment="1" pivotButton="0" quotePrefix="0" xfId="0">
      <alignment horizontal="center" wrapText="1"/>
    </xf>
    <xf numFmtId="0" fontId="64" fillId="0" borderId="8" applyAlignment="1" pivotButton="0" quotePrefix="0" xfId="0">
      <alignment horizontal="center"/>
    </xf>
    <xf numFmtId="0" fontId="64" fillId="0" borderId="9" applyAlignment="1" pivotButton="0" quotePrefix="0" xfId="0">
      <alignment horizontal="center"/>
    </xf>
    <xf numFmtId="16" fontId="64" fillId="0" borderId="9" applyAlignment="1" pivotButton="0" quotePrefix="0" xfId="0">
      <alignment horizontal="center"/>
    </xf>
    <xf numFmtId="0" fontId="64" fillId="0" borderId="10" applyAlignment="1" pivotButton="0" quotePrefix="0" xfId="0">
      <alignment horizontal="center"/>
    </xf>
    <xf numFmtId="0" fontId="65" fillId="0" borderId="11" pivotButton="0" quotePrefix="0" xfId="0"/>
    <xf numFmtId="0" fontId="65" fillId="0" borderId="12" pivotButton="0" quotePrefix="0" xfId="0"/>
    <xf numFmtId="10" fontId="65" fillId="0" borderId="1" applyAlignment="1" pivotButton="0" quotePrefix="0" xfId="0">
      <alignment horizontal="center"/>
    </xf>
    <xf numFmtId="0" fontId="65" fillId="0" borderId="1" applyAlignment="1" pivotButton="0" quotePrefix="0" xfId="0">
      <alignment horizontal="center"/>
    </xf>
    <xf numFmtId="10" fontId="65" fillId="0" borderId="13" applyAlignment="1" pivotButton="0" quotePrefix="0" xfId="3">
      <alignment horizontal="center"/>
    </xf>
    <xf numFmtId="0" fontId="65" fillId="0" borderId="14" pivotButton="0" quotePrefix="0" xfId="0"/>
    <xf numFmtId="10" fontId="65" fillId="0" borderId="15" applyAlignment="1" pivotButton="0" quotePrefix="0" xfId="0">
      <alignment horizontal="center"/>
    </xf>
    <xf numFmtId="0" fontId="65" fillId="0" borderId="12" applyAlignment="1" pivotButton="0" quotePrefix="0" xfId="0">
      <alignment horizontal="center"/>
    </xf>
    <xf numFmtId="10" fontId="65" fillId="0" borderId="1" applyAlignment="1" pivotButton="0" quotePrefix="0" xfId="3">
      <alignment horizontal="center"/>
    </xf>
    <xf numFmtId="0" fontId="65" fillId="0" borderId="14" applyAlignment="1" pivotButton="0" quotePrefix="0" xfId="0">
      <alignment horizontal="center"/>
    </xf>
    <xf numFmtId="10" fontId="65" fillId="0" borderId="15" applyAlignment="1" pivotButton="0" quotePrefix="0" xfId="3">
      <alignment horizontal="center"/>
    </xf>
    <xf numFmtId="167" fontId="65" fillId="0" borderId="16" pivotButton="0" quotePrefix="0" xfId="2"/>
    <xf numFmtId="0" fontId="65" fillId="0" borderId="16" pivotButton="0" quotePrefix="0" xfId="0"/>
    <xf numFmtId="0" fontId="65" fillId="0" borderId="17" pivotButton="0" quotePrefix="0" xfId="0"/>
    <xf numFmtId="167" fontId="65" fillId="0" borderId="0" pivotButton="0" quotePrefix="0" xfId="2"/>
    <xf numFmtId="0" fontId="65" fillId="0" borderId="0" pivotButton="0" quotePrefix="0" xfId="0"/>
    <xf numFmtId="0" fontId="65" fillId="0" borderId="18" pivotButton="0" quotePrefix="0" xfId="0"/>
    <xf numFmtId="0" fontId="65" fillId="0" borderId="0" applyAlignment="1" pivotButton="0" quotePrefix="0" xfId="0">
      <alignment horizontal="left"/>
    </xf>
    <xf numFmtId="0" fontId="65" fillId="0" borderId="19" pivotButton="0" quotePrefix="0" xfId="0"/>
    <xf numFmtId="10" fontId="65" fillId="0" borderId="20" applyAlignment="1" pivotButton="0" quotePrefix="0" xfId="3">
      <alignment horizontal="center"/>
    </xf>
    <xf numFmtId="10" fontId="65" fillId="0" borderId="3" applyAlignment="1" pivotButton="0" quotePrefix="0" xfId="0">
      <alignment horizontal="center"/>
    </xf>
    <xf numFmtId="0" fontId="65" fillId="0" borderId="21" applyAlignment="1" pivotButton="0" quotePrefix="0" xfId="0">
      <alignment horizontal="center"/>
    </xf>
    <xf numFmtId="166" fontId="65" fillId="0" borderId="22" applyAlignment="1" pivotButton="0" quotePrefix="0" xfId="0">
      <alignment horizontal="left"/>
    </xf>
    <xf numFmtId="0" fontId="31"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66" fillId="4" borderId="1" pivotButton="0" quotePrefix="0" xfId="0"/>
    <xf numFmtId="172" fontId="31" fillId="0" borderId="0" applyAlignment="1" pivotButton="0" quotePrefix="0" xfId="0">
      <alignment horizontal="right"/>
    </xf>
    <xf numFmtId="164" fontId="0" fillId="0" borderId="0" pivotButton="0" quotePrefix="0" xfId="0"/>
    <xf numFmtId="10" fontId="0" fillId="4" borderId="1" pivotButton="0" quotePrefix="0" xfId="0"/>
    <xf numFmtId="0" fontId="36" fillId="0" borderId="0" pivotButton="0" quotePrefix="0" xfId="0"/>
    <xf numFmtId="0" fontId="2" fillId="0" borderId="1" applyAlignment="1" pivotButton="0" quotePrefix="0" xfId="0">
      <alignment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29" fillId="0" borderId="0" applyAlignment="1" pivotButton="0" quotePrefix="0" xfId="0">
      <alignment horizontal="left"/>
    </xf>
    <xf numFmtId="10" fontId="29" fillId="0" borderId="0" pivotButton="0" quotePrefix="0" xfId="0"/>
    <xf numFmtId="2" fontId="29" fillId="0" borderId="0" pivotButton="0" quotePrefix="0" xfId="0"/>
    <xf numFmtId="10" fontId="31" fillId="0" borderId="0" pivotButton="0" quotePrefix="0" xfId="0"/>
    <xf numFmtId="0" fontId="67" fillId="0" borderId="0" pivotButton="0" quotePrefix="0" xfId="0"/>
    <xf numFmtId="17" fontId="68" fillId="0" borderId="1" pivotButton="0" quotePrefix="0" xfId="0"/>
    <xf numFmtId="2" fontId="65" fillId="7" borderId="13" applyAlignment="1" pivotButton="0" quotePrefix="0" xfId="0">
      <alignment horizontal="center"/>
    </xf>
    <xf numFmtId="2" fontId="65" fillId="7" borderId="1" applyAlignment="1" pivotButton="0" quotePrefix="0" xfId="0">
      <alignment horizontal="center"/>
    </xf>
    <xf numFmtId="10" fontId="65" fillId="7" borderId="1" applyAlignment="1" pivotButton="0" quotePrefix="0" xfId="0">
      <alignment horizontal="center"/>
    </xf>
    <xf numFmtId="10" fontId="65" fillId="7" borderId="6" applyAlignment="1" pivotButton="0" quotePrefix="0" xfId="0">
      <alignment horizontal="center"/>
    </xf>
    <xf numFmtId="10" fontId="65" fillId="7" borderId="13" applyAlignment="1" pivotButton="0" quotePrefix="0" xfId="0">
      <alignment horizontal="center"/>
    </xf>
    <xf numFmtId="0" fontId="69" fillId="7" borderId="9" pivotButton="0" quotePrefix="0" xfId="0"/>
    <xf numFmtId="0" fontId="70" fillId="7" borderId="9" pivotButton="0" quotePrefix="0" xfId="0"/>
    <xf numFmtId="0" fontId="70" fillId="7" borderId="1" pivotButton="0" quotePrefix="0" xfId="0"/>
    <xf numFmtId="10" fontId="70" fillId="7" borderId="1" pivotButton="0" quotePrefix="0" xfId="3"/>
    <xf numFmtId="0" fontId="64" fillId="0" borderId="23" applyAlignment="1" pivotButton="0" quotePrefix="0" xfId="0">
      <alignment horizontal="center"/>
    </xf>
    <xf numFmtId="173" fontId="64" fillId="0" borderId="23" applyAlignment="1" pivotButton="0" quotePrefix="0" xfId="0">
      <alignment horizontal="center"/>
    </xf>
    <xf numFmtId="173" fontId="64" fillId="0" borderId="24" applyAlignment="1" pivotButton="0" quotePrefix="0" xfId="0">
      <alignment horizontal="center"/>
    </xf>
    <xf numFmtId="166" fontId="65" fillId="0" borderId="1" applyAlignment="1" pivotButton="0" quotePrefix="0" xfId="2">
      <alignment horizontal="center"/>
    </xf>
    <xf numFmtId="166" fontId="65" fillId="0" borderId="15" applyAlignment="1" pivotButton="0" quotePrefix="0" xfId="2">
      <alignment horizontal="center"/>
    </xf>
    <xf numFmtId="166" fontId="65" fillId="0" borderId="6" applyAlignment="1" pivotButton="0" quotePrefix="0" xfId="2">
      <alignment horizontal="center"/>
    </xf>
    <xf numFmtId="10" fontId="0" fillId="0" borderId="0" applyAlignment="1" pivotButton="0" quotePrefix="0" xfId="0">
      <alignment horizontal="center"/>
    </xf>
    <xf numFmtId="167" fontId="11" fillId="5" borderId="1" pivotButton="0" quotePrefix="0" xfId="2"/>
    <xf numFmtId="172" fontId="31" fillId="4" borderId="1" applyAlignment="1" pivotButton="0" quotePrefix="0" xfId="0">
      <alignment horizontal="right"/>
    </xf>
    <xf numFmtId="0" fontId="37" fillId="0" borderId="0" pivotButton="0" quotePrefix="0" xfId="0"/>
    <xf numFmtId="0" fontId="38" fillId="0" borderId="0" applyAlignment="1" pivotButton="0" quotePrefix="0" xfId="0">
      <alignment wrapText="1"/>
    </xf>
    <xf numFmtId="0" fontId="38" fillId="0" borderId="1" applyAlignment="1" pivotButton="0" quotePrefix="0" xfId="0">
      <alignment horizontal="center" wrapText="1"/>
    </xf>
    <xf numFmtId="0" fontId="64" fillId="0" borderId="1" applyAlignment="1" pivotButton="0" quotePrefix="0" xfId="0">
      <alignment horizontal="center"/>
    </xf>
    <xf numFmtId="174" fontId="71" fillId="0" borderId="1" applyAlignment="1" pivotButton="0" quotePrefix="0" xfId="3">
      <alignment horizontal="center"/>
    </xf>
    <xf numFmtId="10" fontId="71" fillId="0" borderId="1" applyAlignment="1" pivotButton="0" quotePrefix="0" xfId="0">
      <alignment horizontal="center"/>
    </xf>
    <xf numFmtId="2" fontId="71" fillId="0" borderId="1" applyAlignment="1" pivotButton="0" quotePrefix="0" xfId="0">
      <alignment horizontal="center"/>
    </xf>
    <xf numFmtId="166" fontId="65" fillId="7" borderId="23" pivotButton="0" quotePrefix="0" xfId="2"/>
    <xf numFmtId="166" fontId="65" fillId="7" borderId="1" pivotButton="0" quotePrefix="0" xfId="2"/>
    <xf numFmtId="166" fontId="65" fillId="7" borderId="6" pivotButton="0" quotePrefix="0" xfId="2"/>
    <xf numFmtId="43" fontId="65" fillId="7" borderId="1" pivotButton="0" quotePrefix="0" xfId="0"/>
    <xf numFmtId="166" fontId="72" fillId="7" borderId="21" pivotButton="0" quotePrefix="0" xfId="2"/>
    <xf numFmtId="0" fontId="30" fillId="6" borderId="0" pivotButton="0" quotePrefix="0" xfId="0"/>
    <xf numFmtId="0" fontId="30" fillId="6" borderId="25" pivotButton="0" quotePrefix="0" xfId="0"/>
    <xf numFmtId="0" fontId="11" fillId="4" borderId="13" pivotButton="0" quotePrefix="0" xfId="0"/>
    <xf numFmtId="168" fontId="11" fillId="5" borderId="1" applyAlignment="1" pivotButton="0" quotePrefix="0" xfId="0">
      <alignment horizontal="center"/>
    </xf>
    <xf numFmtId="168" fontId="0" fillId="5" borderId="1" applyAlignment="1" pivotButton="0" quotePrefix="0" xfId="0">
      <alignment horizontal="center"/>
    </xf>
    <xf numFmtId="10" fontId="11" fillId="5" borderId="1" applyAlignment="1" pivotButton="0" quotePrefix="0" xfId="3">
      <alignment horizontal="center"/>
    </xf>
    <xf numFmtId="10" fontId="3" fillId="5" borderId="1" applyAlignment="1" pivotButton="0" quotePrefix="0" xfId="3">
      <alignment horizontal="center"/>
    </xf>
    <xf numFmtId="0" fontId="11" fillId="4" borderId="3" pivotButton="0" quotePrefix="0" xfId="0"/>
    <xf numFmtId="10" fontId="0" fillId="5" borderId="2" applyAlignment="1" pivotButton="0" quotePrefix="0" xfId="0">
      <alignment horizontal="center"/>
    </xf>
    <xf numFmtId="0" fontId="40" fillId="0" borderId="0" applyAlignment="1" pivotButton="0" quotePrefix="0" xfId="0">
      <alignment horizontal="left" vertical="top" wrapText="1"/>
    </xf>
    <xf numFmtId="0" fontId="40" fillId="4" borderId="1" applyAlignment="1" pivotButton="0" quotePrefix="0" xfId="0">
      <alignment horizontal="center" vertical="top" wrapText="1"/>
    </xf>
    <xf numFmtId="10" fontId="0" fillId="4" borderId="1" applyAlignment="1" pivotButton="0" quotePrefix="0" xfId="0">
      <alignment horizontal="center"/>
    </xf>
    <xf numFmtId="10" fontId="40" fillId="5" borderId="1" applyAlignment="1" pivotButton="0" quotePrefix="0" xfId="3">
      <alignment horizontal="center" vertical="top" wrapText="1"/>
    </xf>
    <xf numFmtId="0" fontId="0" fillId="4" borderId="1" applyAlignment="1" pivotButton="0" quotePrefix="0" xfId="0">
      <alignment horizontal="center"/>
    </xf>
    <xf numFmtId="0" fontId="43" fillId="0" borderId="0" pivotButton="0" quotePrefix="0" xfId="0"/>
    <xf numFmtId="0" fontId="44" fillId="0" borderId="0" pivotButton="0" quotePrefix="0" xfId="0"/>
    <xf numFmtId="0" fontId="45" fillId="0" borderId="0" pivotButton="0" quotePrefix="0" xfId="0"/>
    <xf numFmtId="0" fontId="46" fillId="0" borderId="0" pivotButton="0" quotePrefix="0" xfId="0"/>
    <xf numFmtId="17" fontId="46" fillId="4" borderId="1" applyAlignment="1" pivotButton="0" quotePrefix="0" xfId="0">
      <alignment horizontal="center"/>
    </xf>
    <xf numFmtId="0" fontId="45" fillId="0" borderId="26" pivotButton="0" quotePrefix="0" xfId="0"/>
    <xf numFmtId="0" fontId="45" fillId="0" borderId="27" pivotButton="0" quotePrefix="0" xfId="0"/>
    <xf numFmtId="0" fontId="45" fillId="0" borderId="20" pivotButton="0" quotePrefix="0" xfId="0"/>
    <xf numFmtId="0" fontId="73" fillId="4" borderId="1" applyAlignment="1" pivotButton="0" quotePrefix="0" xfId="0">
      <alignment horizontal="center"/>
    </xf>
    <xf numFmtId="0" fontId="45" fillId="0" borderId="28" pivotButton="0" quotePrefix="0" xfId="0"/>
    <xf numFmtId="0" fontId="45" fillId="0" borderId="29" pivotButton="0" quotePrefix="0" xfId="0"/>
    <xf numFmtId="0" fontId="74" fillId="0" borderId="1" pivotButton="0" quotePrefix="0" xfId="0"/>
    <xf numFmtId="0" fontId="45" fillId="4" borderId="1" pivotButton="0" quotePrefix="0" xfId="0"/>
    <xf numFmtId="0" fontId="47" fillId="0" borderId="1" pivotButton="0" quotePrefix="0" xfId="0"/>
    <xf numFmtId="0" fontId="45" fillId="0" borderId="1" pivotButton="0" quotePrefix="0" xfId="0"/>
    <xf numFmtId="164" fontId="45" fillId="4" borderId="1" applyAlignment="1" pivotButton="0" quotePrefix="0" xfId="2">
      <alignment horizontal="center"/>
    </xf>
    <xf numFmtId="0" fontId="75" fillId="0" borderId="0" pivotButton="0" quotePrefix="0" xfId="0"/>
    <xf numFmtId="164" fontId="45" fillId="8" borderId="13" applyAlignment="1" pivotButton="0" quotePrefix="0" xfId="0">
      <alignment horizontal="center"/>
    </xf>
    <xf numFmtId="164" fontId="45" fillId="4" borderId="9" applyAlignment="1" pivotButton="0" quotePrefix="0" xfId="2">
      <alignment horizontal="center"/>
    </xf>
    <xf numFmtId="2" fontId="45" fillId="4" borderId="9" applyAlignment="1" pivotButton="0" quotePrefix="0" xfId="2">
      <alignment horizontal="center"/>
    </xf>
    <xf numFmtId="10" fontId="45" fillId="4" borderId="1" applyAlignment="1" pivotButton="0" quotePrefix="0" xfId="2">
      <alignment horizontal="center"/>
    </xf>
    <xf numFmtId="164" fontId="45" fillId="0" borderId="0" applyAlignment="1" pivotButton="0" quotePrefix="0" xfId="2">
      <alignment horizontal="center"/>
    </xf>
    <xf numFmtId="0" fontId="45" fillId="0" borderId="30" pivotButton="0" quotePrefix="0" xfId="0"/>
    <xf numFmtId="10" fontId="45" fillId="5" borderId="1" pivotButton="0" quotePrefix="0" xfId="0"/>
    <xf numFmtId="0" fontId="76" fillId="0" borderId="1" pivotButton="0" quotePrefix="0" xfId="0"/>
    <xf numFmtId="10" fontId="76" fillId="4" borderId="1" applyAlignment="1" pivotButton="0" quotePrefix="0" xfId="2">
      <alignment horizontal="center"/>
    </xf>
    <xf numFmtId="10" fontId="45" fillId="4" borderId="1" applyAlignment="1" pivotButton="0" quotePrefix="0" xfId="0">
      <alignment horizontal="center"/>
    </xf>
    <xf numFmtId="10" fontId="45" fillId="6" borderId="0" pivotButton="0" quotePrefix="0" xfId="3"/>
    <xf numFmtId="2" fontId="45" fillId="4" borderId="1" applyAlignment="1" pivotButton="0" quotePrefix="0" xfId="0">
      <alignment horizontal="center"/>
    </xf>
    <xf numFmtId="0" fontId="45" fillId="0" borderId="31" pivotButton="0" quotePrefix="0" xfId="0"/>
    <xf numFmtId="167" fontId="45" fillId="5" borderId="1" pivotButton="0" quotePrefix="0" xfId="0"/>
    <xf numFmtId="10" fontId="45" fillId="0" borderId="0" pivotButton="0" quotePrefix="0" xfId="0"/>
    <xf numFmtId="0" fontId="45" fillId="0" borderId="32" pivotButton="0" quotePrefix="0" xfId="0"/>
    <xf numFmtId="10" fontId="45" fillId="6" borderId="0" applyAlignment="1" pivotButton="0" quotePrefix="0" xfId="0">
      <alignment horizontal="center"/>
    </xf>
    <xf numFmtId="2" fontId="45" fillId="0" borderId="0" applyAlignment="1" pivotButton="0" quotePrefix="0" xfId="0">
      <alignment horizontal="center"/>
    </xf>
    <xf numFmtId="166" fontId="45" fillId="4" borderId="1" applyAlignment="1" pivotButton="0" quotePrefix="0" xfId="0">
      <alignment horizontal="center"/>
    </xf>
    <xf numFmtId="166" fontId="45" fillId="0" borderId="0" applyAlignment="1" pivotButton="0" quotePrefix="0" xfId="0">
      <alignment horizontal="center"/>
    </xf>
    <xf numFmtId="0" fontId="47" fillId="0" borderId="0" pivotButton="0" quotePrefix="0" xfId="0"/>
    <xf numFmtId="10" fontId="45" fillId="0" borderId="0" applyAlignment="1" pivotButton="0" quotePrefix="0" xfId="0">
      <alignment horizontal="center"/>
    </xf>
    <xf numFmtId="0" fontId="48" fillId="6" borderId="0" pivotButton="0" quotePrefix="0" xfId="0"/>
    <xf numFmtId="0" fontId="47" fillId="6" borderId="0" pivotButton="0" quotePrefix="0" xfId="0"/>
    <xf numFmtId="9" fontId="45" fillId="4" borderId="1" applyAlignment="1" pivotButton="0" quotePrefix="0" xfId="0">
      <alignment horizontal="center"/>
    </xf>
    <xf numFmtId="9" fontId="45" fillId="6" borderId="0" applyAlignment="1" pivotButton="0" quotePrefix="0" xfId="0">
      <alignment horizontal="center"/>
    </xf>
    <xf numFmtId="166" fontId="45" fillId="7" borderId="0" applyAlignment="1" pivotButton="0" quotePrefix="0" xfId="0">
      <alignment horizontal="center"/>
    </xf>
    <xf numFmtId="10" fontId="45" fillId="4" borderId="1" applyAlignment="1" pivotButton="0" quotePrefix="0" xfId="3">
      <alignment horizontal="center"/>
    </xf>
    <xf numFmtId="166" fontId="43" fillId="4" borderId="1" applyAlignment="1" pivotButton="0" quotePrefix="0" xfId="0">
      <alignment horizontal="center"/>
    </xf>
    <xf numFmtId="0" fontId="44" fillId="4" borderId="1" pivotButton="0" quotePrefix="0" xfId="0"/>
    <xf numFmtId="0" fontId="44" fillId="5" borderId="1" pivotButton="0" quotePrefix="0" xfId="0"/>
    <xf numFmtId="0" fontId="77" fillId="0" borderId="1" pivotButton="0" quotePrefix="0" xfId="0"/>
    <xf numFmtId="0" fontId="49" fillId="0" borderId="0" pivotButton="0" quotePrefix="0" xfId="0"/>
    <xf numFmtId="0" fontId="70" fillId="7" borderId="0" pivotButton="0" quotePrefix="0" xfId="0"/>
    <xf numFmtId="0" fontId="50" fillId="0" borderId="0" pivotButton="0" quotePrefix="0" xfId="0"/>
    <xf numFmtId="0" fontId="78" fillId="0" borderId="0" pivotButton="0" quotePrefix="0" xfId="0"/>
    <xf numFmtId="0" fontId="78" fillId="0" borderId="1" pivotButton="0" quotePrefix="0" xfId="0"/>
    <xf numFmtId="0" fontId="79" fillId="0" borderId="1" applyAlignment="1" pivotButton="0" quotePrefix="0" xfId="0">
      <alignment horizontal="center"/>
    </xf>
    <xf numFmtId="10" fontId="78" fillId="7" borderId="1" applyAlignment="1" pivotButton="0" quotePrefix="0" xfId="0">
      <alignment horizontal="center"/>
    </xf>
    <xf numFmtId="10" fontId="0" fillId="0" borderId="0" pivotButton="0" quotePrefix="0" xfId="0"/>
    <xf numFmtId="0" fontId="78" fillId="0" borderId="1" applyAlignment="1" pivotButton="0" quotePrefix="0" xfId="0">
      <alignment horizontal="center"/>
    </xf>
    <xf numFmtId="0" fontId="51" fillId="0" borderId="0" pivotButton="0" quotePrefix="0" xfId="0"/>
    <xf numFmtId="0" fontId="78" fillId="0" borderId="0" applyAlignment="1" pivotButton="0" quotePrefix="0" xfId="0">
      <alignment horizontal="center"/>
    </xf>
    <xf numFmtId="10" fontId="78" fillId="0" borderId="0" applyAlignment="1" pivotButton="0" quotePrefix="0" xfId="0">
      <alignment horizontal="center"/>
    </xf>
    <xf numFmtId="0" fontId="65" fillId="7" borderId="5" applyAlignment="1" pivotButton="0" quotePrefix="0" xfId="0">
      <alignment wrapText="1"/>
    </xf>
    <xf numFmtId="0" fontId="65" fillId="7" borderId="5" pivotButton="0" quotePrefix="0" xfId="0"/>
    <xf numFmtId="0" fontId="65" fillId="7" borderId="27" pivotButton="0" quotePrefix="0" xfId="0"/>
    <xf numFmtId="0" fontId="65" fillId="7" borderId="33" pivotButton="0" quotePrefix="0" xfId="0"/>
    <xf numFmtId="0" fontId="8" fillId="0" borderId="0" applyAlignment="1" pivotButton="0" quotePrefix="0" xfId="0">
      <alignment horizontal="center"/>
    </xf>
    <xf numFmtId="0" fontId="52" fillId="0" borderId="0" applyAlignment="1" pivotButton="0" quotePrefix="0" xfId="0">
      <alignment horizontal="center"/>
    </xf>
    <xf numFmtId="166" fontId="8" fillId="0" borderId="1" applyAlignment="1" pivotButton="0" quotePrefix="0" xfId="0">
      <alignment horizontal="center"/>
    </xf>
    <xf numFmtId="10" fontId="8" fillId="0" borderId="1" applyAlignment="1" pivotButton="0" quotePrefix="0" xfId="3">
      <alignment horizontal="center"/>
    </xf>
    <xf numFmtId="10" fontId="8" fillId="0" borderId="1" applyAlignment="1" pivotButton="0" quotePrefix="0" xfId="0">
      <alignment horizontal="center"/>
    </xf>
    <xf numFmtId="166" fontId="8" fillId="7" borderId="1" applyAlignment="1" pivotButton="0" quotePrefix="0" xfId="0">
      <alignment horizontal="center"/>
    </xf>
    <xf numFmtId="10" fontId="8" fillId="7" borderId="1" applyAlignment="1" pivotButton="0" quotePrefix="0" xfId="3">
      <alignment horizontal="center"/>
    </xf>
    <xf numFmtId="0" fontId="8" fillId="0" borderId="1" pivotButton="0" quotePrefix="0" xfId="0"/>
    <xf numFmtId="0" fontId="53" fillId="0" borderId="1" applyAlignment="1" pivotButton="0" quotePrefix="0" xfId="0">
      <alignment horizontal="center"/>
    </xf>
    <xf numFmtId="0" fontId="51" fillId="0" borderId="7" pivotButton="0" quotePrefix="0" xfId="0"/>
    <xf numFmtId="0" fontId="51" fillId="0" borderId="16" applyAlignment="1" pivotButton="0" quotePrefix="0" xfId="0">
      <alignment horizontal="center"/>
    </xf>
    <xf numFmtId="0" fontId="8" fillId="0" borderId="16" applyAlignment="1" pivotButton="0" quotePrefix="0" xfId="0">
      <alignment horizontal="center"/>
    </xf>
    <xf numFmtId="0" fontId="8" fillId="0" borderId="30" pivotButton="0" quotePrefix="0" xfId="0"/>
    <xf numFmtId="0" fontId="53" fillId="0" borderId="0" applyAlignment="1" pivotButton="0" quotePrefix="0" xfId="0">
      <alignment horizontal="center"/>
    </xf>
    <xf numFmtId="0" fontId="53" fillId="0" borderId="18" applyAlignment="1" pivotButton="0" quotePrefix="0" xfId="0">
      <alignment horizontal="center"/>
    </xf>
    <xf numFmtId="0" fontId="8" fillId="0" borderId="17" applyAlignment="1" pivotButton="0" quotePrefix="0" xfId="0">
      <alignment horizontal="center"/>
    </xf>
    <xf numFmtId="0" fontId="8" fillId="0" borderId="18" applyAlignment="1" pivotButton="0" quotePrefix="0" xfId="0">
      <alignment horizontal="center"/>
    </xf>
    <xf numFmtId="0" fontId="52" fillId="0" borderId="7" pivotButton="0" quotePrefix="0" xfId="0"/>
    <xf numFmtId="0" fontId="53" fillId="0" borderId="16" applyAlignment="1" pivotButton="0" quotePrefix="0" xfId="0">
      <alignment horizontal="center"/>
    </xf>
    <xf numFmtId="0" fontId="53" fillId="0" borderId="17" applyAlignment="1" pivotButton="0" quotePrefix="0" xfId="0">
      <alignment horizontal="center"/>
    </xf>
    <xf numFmtId="0" fontId="53" fillId="0" borderId="30" pivotButton="0" quotePrefix="0" xfId="0"/>
    <xf numFmtId="0" fontId="8" fillId="7" borderId="30" pivotButton="0" quotePrefix="0" xfId="0"/>
    <xf numFmtId="0" fontId="8" fillId="7" borderId="14" pivotButton="0" quotePrefix="0" xfId="0"/>
    <xf numFmtId="10" fontId="8" fillId="7" borderId="15" applyAlignment="1" pivotButton="0" quotePrefix="0" xfId="0">
      <alignment horizontal="center"/>
    </xf>
    <xf numFmtId="10" fontId="8" fillId="7" borderId="15" applyAlignment="1" pivotButton="0" quotePrefix="0" xfId="3">
      <alignment horizontal="center"/>
    </xf>
    <xf numFmtId="10" fontId="8" fillId="7" borderId="34" applyAlignment="1" pivotButton="0" quotePrefix="0" xfId="0">
      <alignment horizontal="center"/>
    </xf>
    <xf numFmtId="0" fontId="8" fillId="7" borderId="1" pivotButton="0" quotePrefix="0" xfId="0"/>
    <xf numFmtId="164" fontId="8" fillId="7" borderId="1" applyAlignment="1" pivotButton="0" quotePrefix="0" xfId="0">
      <alignment horizontal="center"/>
    </xf>
    <xf numFmtId="10" fontId="8" fillId="7" borderId="1" applyAlignment="1" pivotButton="0" quotePrefix="0" xfId="0">
      <alignment horizontal="center"/>
    </xf>
    <xf numFmtId="0" fontId="8" fillId="0" borderId="1" applyAlignment="1" pivotButton="0" quotePrefix="0" xfId="0">
      <alignment wrapText="1"/>
    </xf>
    <xf numFmtId="0" fontId="8" fillId="7" borderId="12" pivotButton="0" quotePrefix="0" xfId="0"/>
    <xf numFmtId="10" fontId="8" fillId="7" borderId="35" applyAlignment="1" pivotButton="0" quotePrefix="0" xfId="3">
      <alignment horizontal="center"/>
    </xf>
    <xf numFmtId="0" fontId="8" fillId="0" borderId="31" applyAlignment="1" pivotButton="0" quotePrefix="0" xfId="0">
      <alignment horizontal="center"/>
    </xf>
    <xf numFmtId="0" fontId="8" fillId="0" borderId="32" applyAlignment="1" pivotButton="0" quotePrefix="0" xfId="0">
      <alignment horizontal="center"/>
    </xf>
    <xf numFmtId="10" fontId="29" fillId="7" borderId="3" applyAlignment="1" pivotButton="0" quotePrefix="0" xfId="0">
      <alignment horizontal="center"/>
    </xf>
    <xf numFmtId="0" fontId="55" fillId="6" borderId="9" applyAlignment="1" pivotButton="0" quotePrefix="0" xfId="0">
      <alignment horizontal="center" vertical="center" wrapText="1"/>
    </xf>
    <xf numFmtId="0" fontId="55" fillId="6" borderId="36" applyAlignment="1" pivotButton="0" quotePrefix="0" xfId="0">
      <alignment horizontal="center" vertical="center" wrapText="1"/>
    </xf>
    <xf numFmtId="0" fontId="56" fillId="6" borderId="37" applyAlignment="1" pivotButton="0" quotePrefix="0" xfId="0">
      <alignment vertical="center"/>
    </xf>
    <xf numFmtId="0" fontId="56" fillId="7" borderId="1" applyAlignment="1" pivotButton="0" quotePrefix="0" xfId="0">
      <alignment horizontal="left" vertical="top" wrapText="1"/>
    </xf>
    <xf numFmtId="0" fontId="56" fillId="7" borderId="35" applyAlignment="1" pivotButton="0" quotePrefix="0" xfId="0">
      <alignment horizontal="left" vertical="top" wrapText="1"/>
    </xf>
    <xf numFmtId="9" fontId="56" fillId="7" borderId="1" applyAlignment="1" pivotButton="0" quotePrefix="0" xfId="3">
      <alignment horizontal="left" vertical="top" wrapText="1"/>
    </xf>
    <xf numFmtId="0" fontId="56" fillId="6" borderId="38" pivotButton="0" quotePrefix="0" xfId="0"/>
    <xf numFmtId="0" fontId="56" fillId="6" borderId="39" pivotButton="0" quotePrefix="0" xfId="0"/>
    <xf numFmtId="10" fontId="56" fillId="7" borderId="15" applyAlignment="1" pivotButton="0" quotePrefix="0" xfId="3">
      <alignment horizontal="left" vertical="top" wrapText="1"/>
    </xf>
    <xf numFmtId="0" fontId="56" fillId="7" borderId="34" applyAlignment="1" pivotButton="0" quotePrefix="0" xfId="0">
      <alignment horizontal="left" vertical="top" wrapText="1"/>
    </xf>
    <xf numFmtId="0" fontId="29" fillId="7" borderId="19" pivotButton="0" quotePrefix="0" xfId="0"/>
    <xf numFmtId="0" fontId="29" fillId="0" borderId="0" applyAlignment="1" pivotButton="0" quotePrefix="0" xfId="0">
      <alignment horizontal="center"/>
    </xf>
    <xf numFmtId="0" fontId="29" fillId="0" borderId="18" pivotButton="0" quotePrefix="0" xfId="0"/>
    <xf numFmtId="0" fontId="11" fillId="0" borderId="0" applyAlignment="1" pivotButton="0" quotePrefix="0" xfId="0">
      <alignment horizontal="center"/>
    </xf>
    <xf numFmtId="0" fontId="11" fillId="0" borderId="18" pivotButton="0" quotePrefix="0" xfId="0"/>
    <xf numFmtId="0" fontId="11" fillId="0" borderId="31" applyAlignment="1" pivotButton="0" quotePrefix="0" xfId="0">
      <alignment horizontal="center"/>
    </xf>
    <xf numFmtId="0" fontId="11" fillId="0" borderId="32" pivotButton="0" quotePrefix="0" xfId="0"/>
    <xf numFmtId="0" fontId="54" fillId="6" borderId="37" applyAlignment="1" pivotButton="0" quotePrefix="0" xfId="0">
      <alignment horizontal="center" vertical="center" wrapText="1"/>
    </xf>
    <xf numFmtId="164" fontId="44" fillId="2" borderId="1" pivotButton="0" quotePrefix="0" xfId="0"/>
    <xf numFmtId="164" fontId="44" fillId="2" borderId="1" pivotButton="0" quotePrefix="0" xfId="2"/>
    <xf numFmtId="2" fontId="44" fillId="2" borderId="1" pivotButton="0" quotePrefix="0" xfId="0"/>
    <xf numFmtId="10" fontId="44" fillId="2" borderId="1" pivotButton="0" quotePrefix="0" xfId="3"/>
    <xf numFmtId="10" fontId="44" fillId="2" borderId="1" pivotButton="0" quotePrefix="0" xfId="0"/>
    <xf numFmtId="4" fontId="44" fillId="2" borderId="1" pivotButton="0" quotePrefix="0" xfId="0"/>
    <xf numFmtId="0" fontId="57" fillId="0" borderId="0" pivotButton="0" quotePrefix="0" xfId="0"/>
    <xf numFmtId="0" fontId="59" fillId="0" borderId="0" pivotButton="0" quotePrefix="0" xfId="0"/>
    <xf numFmtId="0" fontId="44" fillId="0" borderId="1" pivotButton="0" quotePrefix="0" xfId="0"/>
    <xf numFmtId="164" fontId="44" fillId="5" borderId="2" pivotButton="0" quotePrefix="0" xfId="2"/>
    <xf numFmtId="165" fontId="44" fillId="5" borderId="2" pivotButton="0" quotePrefix="0" xfId="0"/>
    <xf numFmtId="0" fontId="44" fillId="0" borderId="1" applyAlignment="1" pivotButton="0" quotePrefix="0" xfId="0">
      <alignment horizontal="center"/>
    </xf>
    <xf numFmtId="3" fontId="44" fillId="0" borderId="1" applyAlignment="1" pivotButton="0" quotePrefix="0" xfId="0">
      <alignment horizontal="center"/>
    </xf>
    <xf numFmtId="10" fontId="51" fillId="0" borderId="1" applyAlignment="1" pivotButton="0" quotePrefix="0" xfId="0">
      <alignment horizontal="center"/>
    </xf>
    <xf numFmtId="175" fontId="51" fillId="0" borderId="1" applyAlignment="1" pivotButton="0" quotePrefix="0" xfId="1">
      <alignment horizontal="center"/>
    </xf>
    <xf numFmtId="10" fontId="44" fillId="0" borderId="1" applyAlignment="1" pivotButton="0" quotePrefix="0" xfId="0">
      <alignment horizontal="center"/>
    </xf>
    <xf numFmtId="0" fontId="44" fillId="0" borderId="0" applyAlignment="1" pivotButton="0" quotePrefix="0" xfId="0">
      <alignment horizontal="center"/>
    </xf>
    <xf numFmtId="168" fontId="44" fillId="0" borderId="1" applyAlignment="1" pivotButton="0" quotePrefix="0" xfId="0">
      <alignment horizontal="center"/>
    </xf>
    <xf numFmtId="0" fontId="51" fillId="0" borderId="6" applyAlignment="1" pivotButton="0" quotePrefix="0" xfId="0">
      <alignment horizontal="center"/>
    </xf>
    <xf numFmtId="0" fontId="58" fillId="0" borderId="0" pivotButton="0" quotePrefix="0" xfId="0"/>
    <xf numFmtId="0" fontId="60" fillId="0" borderId="0" pivotButton="0" quotePrefix="0" xfId="0"/>
    <xf numFmtId="0" fontId="61" fillId="0" borderId="0" pivotButton="0" quotePrefix="0" xfId="0"/>
    <xf numFmtId="0" fontId="56" fillId="0" borderId="0" pivotButton="0" quotePrefix="0" xfId="0"/>
    <xf numFmtId="10" fontId="51" fillId="0" borderId="0" pivotButton="0" quotePrefix="0" xfId="0"/>
    <xf numFmtId="164" fontId="44" fillId="0" borderId="0" pivotButton="0" quotePrefix="0" xfId="2"/>
    <xf numFmtId="166" fontId="51" fillId="0" borderId="6" applyAlignment="1" pivotButton="0" quotePrefix="0" xfId="0">
      <alignment horizontal="center"/>
    </xf>
    <xf numFmtId="0" fontId="54" fillId="0" borderId="0" pivotButton="0" quotePrefix="0" xfId="0"/>
    <xf numFmtId="0" fontId="80" fillId="7" borderId="9" pivotButton="0" quotePrefix="0" xfId="0"/>
    <xf numFmtId="0" fontId="81" fillId="7" borderId="9" pivotButton="0" quotePrefix="0" xfId="0"/>
    <xf numFmtId="0" fontId="81" fillId="7" borderId="1" pivotButton="0" quotePrefix="0" xfId="0"/>
    <xf numFmtId="10" fontId="81" fillId="7" borderId="1" pivotButton="0" quotePrefix="0" xfId="3"/>
    <xf numFmtId="164" fontId="44" fillId="5" borderId="1" pivotButton="0" quotePrefix="0" xfId="0"/>
    <xf numFmtId="166" fontId="44" fillId="5" borderId="2" pivotButton="0" quotePrefix="0" xfId="0"/>
    <xf numFmtId="10" fontId="44" fillId="5" borderId="2" pivotButton="0" quotePrefix="0" xfId="0"/>
    <xf numFmtId="2" fontId="51" fillId="5" borderId="2" applyAlignment="1" pivotButton="0" quotePrefix="0" xfId="0">
      <alignment horizontal="center"/>
    </xf>
    <xf numFmtId="0" fontId="51" fillId="5" borderId="4" applyAlignment="1" pivotButton="0" quotePrefix="0" xfId="0">
      <alignment horizontal="center"/>
    </xf>
    <xf numFmtId="10" fontId="51" fillId="5" borderId="2" applyAlignment="1" pivotButton="0" quotePrefix="0" xfId="3">
      <alignment horizontal="center"/>
    </xf>
    <xf numFmtId="10" fontId="51" fillId="5" borderId="2" applyAlignment="1" pivotButton="0" quotePrefix="0" xfId="0">
      <alignment horizontal="center"/>
    </xf>
    <xf numFmtId="10" fontId="51" fillId="0" borderId="0" applyAlignment="1" pivotButton="0" quotePrefix="0" xfId="0">
      <alignment horizontal="center"/>
    </xf>
    <xf numFmtId="10" fontId="57" fillId="0" borderId="0" applyAlignment="1" pivotButton="0" quotePrefix="0" xfId="0">
      <alignment horizontal="center"/>
    </xf>
    <xf numFmtId="0" fontId="59" fillId="0" borderId="1" applyAlignment="1" pivotButton="0" quotePrefix="0" xfId="0">
      <alignment horizontal="centerContinuous"/>
    </xf>
    <xf numFmtId="0" fontId="59" fillId="0" borderId="1" pivotButton="0" quotePrefix="0" xfId="0"/>
    <xf numFmtId="0" fontId="59" fillId="0" borderId="1" applyAlignment="1" pivotButton="0" quotePrefix="0" xfId="0">
      <alignment horizontal="center"/>
    </xf>
    <xf numFmtId="10" fontId="44" fillId="0" borderId="40" applyAlignment="1" pivotButton="0" quotePrefix="0" xfId="3">
      <alignment horizontal="center"/>
    </xf>
    <xf numFmtId="2" fontId="44" fillId="0" borderId="1" applyAlignment="1" pivotButton="0" quotePrefix="0" xfId="0">
      <alignment horizontal="center"/>
    </xf>
    <xf numFmtId="0" fontId="44" fillId="0" borderId="1" applyAlignment="1" pivotButton="0" quotePrefix="0" xfId="0">
      <alignment horizontal="centerContinuous"/>
    </xf>
    <xf numFmtId="0" fontId="48" fillId="0" borderId="41" pivotButton="0" quotePrefix="0" xfId="0"/>
    <xf numFmtId="0" fontId="58" fillId="0" borderId="0" applyAlignment="1" pivotButton="0" quotePrefix="0" xfId="0">
      <alignment horizontal="centerContinuous"/>
    </xf>
    <xf numFmtId="0" fontId="56" fillId="3" borderId="1" applyAlignment="1" pivotButton="0" quotePrefix="0" xfId="0">
      <alignment horizontal="center"/>
    </xf>
    <xf numFmtId="164" fontId="56" fillId="3" borderId="1" pivotButton="0" quotePrefix="0" xfId="2"/>
    <xf numFmtId="2" fontId="60" fillId="0" borderId="1" applyAlignment="1" pivotButton="0" quotePrefix="0" xfId="0">
      <alignment horizontal="center"/>
    </xf>
    <xf numFmtId="2" fontId="60" fillId="0" borderId="0" pivotButton="0" quotePrefix="0" xfId="0"/>
    <xf numFmtId="2" fontId="56" fillId="0" borderId="0" pivotButton="0" quotePrefix="0" xfId="0"/>
    <xf numFmtId="1" fontId="60" fillId="0" borderId="1" applyAlignment="1" pivotButton="0" quotePrefix="0" xfId="0">
      <alignment horizontal="center"/>
    </xf>
    <xf numFmtId="2" fontId="60" fillId="3" borderId="1" applyAlignment="1" pivotButton="0" quotePrefix="0" xfId="0">
      <alignment horizontal="center"/>
    </xf>
    <xf numFmtId="2" fontId="62" fillId="0" borderId="0" pivotButton="0" quotePrefix="0" xfId="0"/>
    <xf numFmtId="2" fontId="60" fillId="0" borderId="6" applyAlignment="1" pivotButton="0" quotePrefix="0" xfId="0">
      <alignment horizontal="centerContinuous"/>
    </xf>
    <xf numFmtId="2" fontId="60" fillId="0" borderId="13" applyAlignment="1" pivotButton="0" quotePrefix="0" xfId="0">
      <alignment horizontal="centerContinuous"/>
    </xf>
    <xf numFmtId="164" fontId="60" fillId="0" borderId="1" pivotButton="0" quotePrefix="0" xfId="2"/>
    <xf numFmtId="2" fontId="60" fillId="0" borderId="3" applyAlignment="1" pivotButton="0" quotePrefix="0" xfId="0">
      <alignment horizontal="center"/>
    </xf>
    <xf numFmtId="164" fontId="60" fillId="0" borderId="3" pivotButton="0" quotePrefix="0" xfId="2"/>
    <xf numFmtId="164" fontId="56" fillId="0" borderId="2" pivotButton="0" quotePrefix="0" xfId="2"/>
    <xf numFmtId="164" fontId="60" fillId="0" borderId="0" pivotButton="0" quotePrefix="0" xfId="2"/>
    <xf numFmtId="164" fontId="56" fillId="0" borderId="0" pivotButton="0" quotePrefix="0" xfId="2"/>
    <xf numFmtId="166" fontId="56" fillId="0" borderId="42" pivotButton="0" quotePrefix="0" xfId="0"/>
    <xf numFmtId="176" fontId="56" fillId="0" borderId="1" pivotButton="0" quotePrefix="0" xfId="2"/>
    <xf numFmtId="0" fontId="45" fillId="0" borderId="1" applyAlignment="1" pivotButton="0" quotePrefix="0" xfId="0">
      <alignment vertical="center"/>
    </xf>
    <xf numFmtId="10" fontId="45" fillId="5" borderId="1" applyAlignment="1" pivotButton="0" quotePrefix="0" xfId="0">
      <alignment horizontal="center" vertical="center"/>
    </xf>
    <xf numFmtId="0" fontId="67" fillId="0" borderId="1" applyAlignment="1" pivotButton="0" quotePrefix="0" xfId="0">
      <alignment horizontal="center" wrapText="1"/>
    </xf>
    <xf numFmtId="0" fontId="67" fillId="0" borderId="13" applyAlignment="1" pivotButton="0" quotePrefix="0" xfId="0">
      <alignment horizontal="center" wrapText="1"/>
    </xf>
    <xf numFmtId="0" fontId="67" fillId="0" borderId="0" applyAlignment="1" pivotButton="0" quotePrefix="0" xfId="0">
      <alignment vertical="center"/>
    </xf>
    <xf numFmtId="0" fontId="47" fillId="0" borderId="1" applyAlignment="1" pivotButton="0" quotePrefix="0" xfId="0">
      <alignment horizontal="center"/>
    </xf>
    <xf numFmtId="10" fontId="45" fillId="5" borderId="9" applyAlignment="1" pivotButton="0" quotePrefix="0" xfId="3">
      <alignment horizontal="center"/>
    </xf>
    <xf numFmtId="10" fontId="45" fillId="5" borderId="1" applyAlignment="1" pivotButton="0" quotePrefix="0" xfId="3">
      <alignment horizontal="center"/>
    </xf>
    <xf numFmtId="10" fontId="45" fillId="5" borderId="1" applyAlignment="1" pivotButton="0" quotePrefix="0" xfId="0">
      <alignment horizontal="center"/>
    </xf>
    <xf numFmtId="2" fontId="45" fillId="5" borderId="1" applyAlignment="1" pivotButton="0" quotePrefix="0" xfId="0">
      <alignment horizontal="center"/>
    </xf>
    <xf numFmtId="164" fontId="82" fillId="9" borderId="1" applyAlignment="1" pivotButton="0" quotePrefix="0" xfId="2">
      <alignment horizontal="center"/>
    </xf>
    <xf numFmtId="164" fontId="83" fillId="9" borderId="1" pivotButton="0" quotePrefix="0" xfId="0"/>
    <xf numFmtId="2" fontId="45" fillId="5" borderId="0" applyAlignment="1" pivotButton="0" quotePrefix="0" xfId="0">
      <alignment horizontal="center"/>
    </xf>
    <xf numFmtId="9" fontId="45" fillId="0" borderId="0" applyAlignment="1" pivotButton="0" quotePrefix="0" xfId="0">
      <alignment horizontal="center"/>
    </xf>
    <xf numFmtId="1" fontId="45" fillId="4"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75" fillId="10" borderId="13" pivotButton="0" quotePrefix="0" xfId="0"/>
    <xf numFmtId="0" fontId="56" fillId="0" borderId="1" pivotButton="0" quotePrefix="0" xfId="0"/>
    <xf numFmtId="0" fontId="56" fillId="7" borderId="1" pivotButton="0" quotePrefix="0" xfId="0"/>
    <xf numFmtId="10" fontId="56" fillId="0" borderId="1" pivotButton="0" quotePrefix="0" xfId="0"/>
    <xf numFmtId="0" fontId="56" fillId="0" borderId="1" applyAlignment="1" pivotButton="0" quotePrefix="0" xfId="0">
      <alignment horizontal="center"/>
    </xf>
    <xf numFmtId="0" fontId="56" fillId="7" borderId="1" applyAlignment="1" pivotButton="0" quotePrefix="0" xfId="0">
      <alignment horizontal="center"/>
    </xf>
    <xf numFmtId="0" fontId="56" fillId="0" borderId="0" applyAlignment="1" pivotButton="0" quotePrefix="0" xfId="0">
      <alignment horizontal="center"/>
    </xf>
    <xf numFmtId="10" fontId="56" fillId="7" borderId="1" pivotButton="0" quotePrefix="0" xfId="0"/>
    <xf numFmtId="167" fontId="56" fillId="0" borderId="1" pivotButton="0" quotePrefix="0" xfId="0"/>
    <xf numFmtId="167" fontId="56" fillId="7" borderId="1" pivotButton="0" quotePrefix="0" xfId="0"/>
    <xf numFmtId="10" fontId="56" fillId="0" borderId="0" pivotButton="0" quotePrefix="0" xfId="0"/>
    <xf numFmtId="168" fontId="56" fillId="0" borderId="1" pivotButton="0" quotePrefix="0" xfId="0"/>
    <xf numFmtId="164" fontId="56" fillId="7" borderId="1" pivotButton="0" quotePrefix="0" xfId="0"/>
    <xf numFmtId="177" fontId="56" fillId="0" borderId="1" pivotButton="0" quotePrefix="0" xfId="0"/>
    <xf numFmtId="164" fontId="56" fillId="7" borderId="8" pivotButton="0" quotePrefix="0" xfId="0"/>
    <xf numFmtId="167" fontId="56" fillId="7" borderId="43" pivotButton="0" quotePrefix="0" xfId="0"/>
    <xf numFmtId="0" fontId="56" fillId="7" borderId="12" pivotButton="0" quotePrefix="0" xfId="0"/>
    <xf numFmtId="167" fontId="56" fillId="7" borderId="35" pivotButton="0" quotePrefix="0" xfId="0"/>
    <xf numFmtId="10" fontId="56" fillId="7" borderId="12" pivotButton="0" quotePrefix="0" xfId="0"/>
    <xf numFmtId="10" fontId="56" fillId="7" borderId="35" pivotButton="0" quotePrefix="0" xfId="0"/>
    <xf numFmtId="177" fontId="56" fillId="7" borderId="35" pivotButton="0" quotePrefix="0" xfId="0"/>
    <xf numFmtId="43" fontId="56" fillId="7" borderId="12" pivotButton="0" quotePrefix="0" xfId="0"/>
    <xf numFmtId="43" fontId="56" fillId="7" borderId="35" pivotButton="0" quotePrefix="0" xfId="0"/>
    <xf numFmtId="0" fontId="56" fillId="0" borderId="9" pivotButton="0" quotePrefix="0" xfId="0"/>
    <xf numFmtId="2" fontId="56" fillId="7" borderId="1" pivotButton="0" quotePrefix="0" xfId="0"/>
    <xf numFmtId="0" fontId="56" fillId="7" borderId="19" pivotButton="0" quotePrefix="0" xfId="0"/>
    <xf numFmtId="166" fontId="56" fillId="7" borderId="44" pivotButton="0" quotePrefix="0" xfId="0"/>
    <xf numFmtId="166" fontId="56" fillId="7" borderId="1" pivotButton="0" quotePrefix="0" xfId="0"/>
    <xf numFmtId="10" fontId="56" fillId="7" borderId="1" pivotButton="0" quotePrefix="0" xfId="3"/>
    <xf numFmtId="0" fontId="56" fillId="0" borderId="20" pivotButton="0" quotePrefix="0" xfId="0"/>
    <xf numFmtId="166" fontId="56" fillId="0" borderId="26" pivotButton="0" quotePrefix="0" xfId="0"/>
    <xf numFmtId="2" fontId="8" fillId="7" borderId="1" applyAlignment="1" pivotButton="0" quotePrefix="0" xfId="0">
      <alignment horizontal="center"/>
    </xf>
    <xf numFmtId="0" fontId="20" fillId="7" borderId="1" pivotButton="0" quotePrefix="0" xfId="0"/>
    <xf numFmtId="0" fontId="21" fillId="7" borderId="1" pivotButton="0" quotePrefix="0" xfId="0"/>
    <xf numFmtId="0" fontId="71" fillId="12" borderId="1" pivotButton="0" quotePrefix="0" xfId="0"/>
    <xf numFmtId="0" fontId="71" fillId="7" borderId="1" pivotButton="0" quotePrefix="0" xfId="0"/>
    <xf numFmtId="0" fontId="90" fillId="0" borderId="55" applyAlignment="1" pivotButton="0" quotePrefix="0" xfId="0">
      <alignment horizontal="left"/>
    </xf>
    <xf numFmtId="0" fontId="21" fillId="7" borderId="1" applyAlignment="1" pivotButton="0" quotePrefix="0" xfId="0">
      <alignment horizontal="center"/>
    </xf>
    <xf numFmtId="0" fontId="20" fillId="7" borderId="1" applyAlignment="1" pivotButton="0" quotePrefix="0" xfId="0">
      <alignment horizontal="center"/>
    </xf>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8" fontId="0" fillId="0" borderId="0" pivotButton="0" quotePrefix="0" xfId="0"/>
    <xf numFmtId="0" fontId="0" fillId="0" borderId="56" pivotButton="0" quotePrefix="0" xfId="0"/>
    <xf numFmtId="9" fontId="0" fillId="0" borderId="56" pivotButton="0" quotePrefix="0" xfId="0"/>
    <xf numFmtId="0" fontId="0" fillId="0" borderId="56" applyAlignment="1" pivotButton="0" quotePrefix="0" xfId="0">
      <alignment wrapText="1"/>
    </xf>
    <xf numFmtId="9" fontId="0" fillId="0" borderId="56" applyAlignment="1" pivotButton="0" quotePrefix="0" xfId="0">
      <alignment wrapText="1"/>
    </xf>
    <xf numFmtId="10" fontId="65" fillId="7" borderId="13" applyAlignment="1" pivotButton="0" quotePrefix="0" xfId="0">
      <alignment horizontal="left"/>
    </xf>
    <xf numFmtId="0" fontId="90" fillId="7" borderId="55" applyAlignment="1" pivotButton="0" quotePrefix="0" xfId="0">
      <alignment horizontal="left"/>
    </xf>
    <xf numFmtId="0" fontId="38" fillId="0" borderId="56" pivotButton="0" quotePrefix="0" xfId="0"/>
    <xf numFmtId="0" fontId="38" fillId="0" borderId="56" applyAlignment="1" pivotButton="0" quotePrefix="0" xfId="0">
      <alignment horizontal="center"/>
    </xf>
    <xf numFmtId="10" fontId="0" fillId="0" borderId="56" applyAlignment="1" pivotButton="0" quotePrefix="0" xfId="0">
      <alignment horizontal="center"/>
    </xf>
    <xf numFmtId="0" fontId="44" fillId="13" borderId="2" applyAlignment="1" pivotButton="0" quotePrefix="0" xfId="0">
      <alignment horizontal="center"/>
    </xf>
    <xf numFmtId="0" fontId="45" fillId="0" borderId="1" applyAlignment="1" pivotButton="0" quotePrefix="0" xfId="0">
      <alignment horizontal="center"/>
    </xf>
    <xf numFmtId="164" fontId="45" fillId="8" borderId="1" applyAlignment="1" pivotButton="0" quotePrefix="0" xfId="0">
      <alignment horizontal="center"/>
    </xf>
    <xf numFmtId="178" fontId="0" fillId="7" borderId="56" applyAlignment="1" pivotButton="0" quotePrefix="0" xfId="0">
      <alignment horizontal="center"/>
    </xf>
    <xf numFmtId="0" fontId="48" fillId="0" borderId="0" pivotButton="0" quotePrefix="0" xfId="0"/>
    <xf numFmtId="0" fontId="46" fillId="0" borderId="45" applyAlignment="1" pivotButton="0" quotePrefix="0" xfId="0">
      <alignment horizontal="center"/>
    </xf>
    <xf numFmtId="0" fontId="46" fillId="0" borderId="31" applyAlignment="1" pivotButton="0" quotePrefix="0" xfId="0">
      <alignment horizontal="center"/>
    </xf>
    <xf numFmtId="0" fontId="46" fillId="0" borderId="46" applyAlignment="1" pivotButton="0" quotePrefix="0" xfId="0">
      <alignment horizontal="center"/>
    </xf>
    <xf numFmtId="0" fontId="46" fillId="0" borderId="16" applyAlignment="1" pivotButton="0" quotePrefix="0" xfId="0">
      <alignment horizontal="center"/>
    </xf>
    <xf numFmtId="0" fontId="46" fillId="0" borderId="17" applyAlignment="1" pivotButton="0" quotePrefix="0" xfId="0">
      <alignment horizontal="center"/>
    </xf>
    <xf numFmtId="0" fontId="46" fillId="0" borderId="7" applyAlignment="1" pivotButton="0" quotePrefix="0" xfId="0">
      <alignment horizontal="left"/>
    </xf>
    <xf numFmtId="0" fontId="46" fillId="0" borderId="16" applyAlignment="1" pivotButton="0" quotePrefix="0" xfId="0">
      <alignment horizontal="left"/>
    </xf>
    <xf numFmtId="0" fontId="46" fillId="0" borderId="17" applyAlignment="1" pivotButton="0" quotePrefix="0" xfId="0">
      <alignment horizontal="left"/>
    </xf>
    <xf numFmtId="0" fontId="75" fillId="0" borderId="28" applyAlignment="1" pivotButton="0" quotePrefix="0" xfId="0">
      <alignment horizontal="center" wrapText="1"/>
    </xf>
    <xf numFmtId="0" fontId="75" fillId="0" borderId="18" applyAlignment="1" pivotButton="0" quotePrefix="0" xfId="0">
      <alignment horizontal="center" wrapText="1"/>
    </xf>
    <xf numFmtId="0" fontId="47" fillId="0" borderId="1" applyAlignment="1" pivotButton="0" quotePrefix="0" xfId="0">
      <alignment horizontal="center"/>
    </xf>
    <xf numFmtId="0" fontId="46" fillId="0" borderId="0" applyAlignment="1" pivotButton="0" quotePrefix="0" xfId="0">
      <alignment horizontal="center"/>
    </xf>
    <xf numFmtId="0" fontId="65" fillId="0" borderId="37" applyAlignment="1" pivotButton="0" quotePrefix="0" xfId="0">
      <alignment horizontal="left"/>
    </xf>
    <xf numFmtId="0" fontId="65" fillId="0" borderId="5" applyAlignment="1" pivotButton="0" quotePrefix="0" xfId="0">
      <alignment horizontal="left"/>
    </xf>
    <xf numFmtId="0" fontId="65" fillId="0" borderId="13" applyAlignment="1" pivotButton="0" quotePrefix="0" xfId="0">
      <alignment horizontal="left"/>
    </xf>
    <xf numFmtId="0" fontId="65" fillId="0" borderId="45" applyAlignment="1" pivotButton="0" quotePrefix="0" xfId="0">
      <alignment horizontal="right"/>
    </xf>
    <xf numFmtId="0" fontId="65" fillId="0" borderId="46" applyAlignment="1" pivotButton="0" quotePrefix="0" xfId="0">
      <alignment horizontal="right"/>
    </xf>
    <xf numFmtId="0" fontId="65" fillId="0" borderId="12" applyAlignment="1" pivotButton="0" quotePrefix="0" xfId="0">
      <alignment horizontal="left"/>
    </xf>
    <xf numFmtId="0" fontId="65" fillId="0" borderId="1" applyAlignment="1" pivotButton="0" quotePrefix="0" xfId="0">
      <alignment horizontal="left"/>
    </xf>
    <xf numFmtId="0" fontId="68" fillId="0" borderId="6" applyAlignment="1" pivotButton="0" quotePrefix="0" xfId="0">
      <alignment horizontal="center"/>
    </xf>
    <xf numFmtId="0" fontId="68" fillId="0" borderId="5" applyAlignment="1" pivotButton="0" quotePrefix="0" xfId="0">
      <alignment horizontal="center"/>
    </xf>
    <xf numFmtId="0" fontId="68" fillId="0" borderId="13" applyAlignment="1" pivotButton="0" quotePrefix="0" xfId="0">
      <alignment horizontal="center"/>
    </xf>
    <xf numFmtId="0" fontId="65" fillId="0" borderId="47" applyAlignment="1" pivotButton="0" quotePrefix="0" xfId="0">
      <alignment horizontal="left"/>
    </xf>
    <xf numFmtId="0" fontId="65" fillId="0" borderId="48" applyAlignment="1" pivotButton="0" quotePrefix="0" xfId="0">
      <alignment horizontal="left"/>
    </xf>
    <xf numFmtId="0" fontId="65" fillId="0" borderId="49" applyAlignment="1" pivotButton="0" quotePrefix="0" xfId="0">
      <alignment horizontal="left"/>
    </xf>
    <xf numFmtId="0" fontId="71" fillId="7" borderId="27" applyAlignment="1" pivotButton="0" quotePrefix="0" xfId="0">
      <alignment horizontal="left" vertical="top" wrapText="1"/>
    </xf>
    <xf numFmtId="0" fontId="71" fillId="7" borderId="20" applyAlignment="1" pivotButton="0" quotePrefix="0" xfId="0">
      <alignment horizontal="left" vertical="top" wrapText="1"/>
    </xf>
    <xf numFmtId="0" fontId="71" fillId="7" borderId="28" applyAlignment="1" pivotButton="0" quotePrefix="0" xfId="0">
      <alignment horizontal="left" vertical="top" wrapText="1"/>
    </xf>
    <xf numFmtId="0" fontId="71" fillId="7" borderId="0" applyAlignment="1" pivotButton="0" quotePrefix="0" xfId="0">
      <alignment horizontal="left" vertical="top" wrapText="1"/>
    </xf>
    <xf numFmtId="0" fontId="71" fillId="7" borderId="29" applyAlignment="1" pivotButton="0" quotePrefix="0" xfId="0">
      <alignment horizontal="left" vertical="top" wrapText="1"/>
    </xf>
    <xf numFmtId="0" fontId="71" fillId="7" borderId="50" applyAlignment="1" pivotButton="0" quotePrefix="0" xfId="0">
      <alignment horizontal="left" vertical="top" wrapText="1"/>
    </xf>
    <xf numFmtId="0" fontId="71" fillId="7" borderId="25" applyAlignment="1" pivotButton="0" quotePrefix="0" xfId="0">
      <alignment horizontal="left" vertical="top" wrapText="1"/>
    </xf>
    <xf numFmtId="0" fontId="71" fillId="7" borderId="40" applyAlignment="1" pivotButton="0" quotePrefix="0" xfId="0">
      <alignment horizontal="left" vertical="top" wrapText="1"/>
    </xf>
    <xf numFmtId="0" fontId="84" fillId="0" borderId="26" applyAlignment="1" pivotButton="0" quotePrefix="0" xfId="0">
      <alignment horizontal="left" wrapText="1"/>
    </xf>
    <xf numFmtId="0" fontId="85" fillId="0" borderId="27" applyAlignment="1" pivotButton="0" quotePrefix="0" xfId="0">
      <alignment horizontal="left" wrapText="1"/>
    </xf>
    <xf numFmtId="0" fontId="85" fillId="0" borderId="20" applyAlignment="1" pivotButton="0" quotePrefix="0" xfId="0">
      <alignment horizontal="left" wrapText="1"/>
    </xf>
    <xf numFmtId="0" fontId="85" fillId="0" borderId="28" applyAlignment="1" pivotButton="0" quotePrefix="0" xfId="0">
      <alignment horizontal="left" wrapText="1"/>
    </xf>
    <xf numFmtId="0" fontId="85" fillId="0" borderId="0" applyAlignment="1" pivotButton="0" quotePrefix="0" xfId="0">
      <alignment horizontal="left" wrapText="1"/>
    </xf>
    <xf numFmtId="0" fontId="85" fillId="0" borderId="29" applyAlignment="1" pivotButton="0" quotePrefix="0" xfId="0">
      <alignment horizontal="left" wrapText="1"/>
    </xf>
    <xf numFmtId="0" fontId="85" fillId="0" borderId="50" applyAlignment="1" pivotButton="0" quotePrefix="0" xfId="0">
      <alignment horizontal="left" wrapText="1"/>
    </xf>
    <xf numFmtId="0" fontId="85" fillId="0" borderId="25" applyAlignment="1" pivotButton="0" quotePrefix="0" xfId="0">
      <alignment horizontal="left" wrapText="1"/>
    </xf>
    <xf numFmtId="0" fontId="85" fillId="0" borderId="40" applyAlignment="1" pivotButton="0" quotePrefix="0" xfId="0">
      <alignment horizontal="left" wrapText="1"/>
    </xf>
    <xf numFmtId="0" fontId="72" fillId="0" borderId="26" applyAlignment="1" pivotButton="0" quotePrefix="0" xfId="0">
      <alignment horizontal="left" vertical="center" wrapText="1"/>
    </xf>
    <xf numFmtId="0" fontId="72" fillId="0" borderId="27" applyAlignment="1" pivotButton="0" quotePrefix="0" xfId="0">
      <alignment horizontal="left" vertical="center" wrapText="1"/>
    </xf>
    <xf numFmtId="0" fontId="72" fillId="0" borderId="20" applyAlignment="1" pivotButton="0" quotePrefix="0" xfId="0">
      <alignment horizontal="left" vertical="center" wrapText="1"/>
    </xf>
    <xf numFmtId="0" fontId="72" fillId="0" borderId="28" applyAlignment="1" pivotButton="0" quotePrefix="0" xfId="0">
      <alignment horizontal="left" vertical="center" wrapText="1"/>
    </xf>
    <xf numFmtId="0" fontId="72" fillId="0" borderId="0" applyAlignment="1" pivotButton="0" quotePrefix="0" xfId="0">
      <alignment horizontal="left" vertical="center" wrapText="1"/>
    </xf>
    <xf numFmtId="0" fontId="72" fillId="0" borderId="29" applyAlignment="1" pivotButton="0" quotePrefix="0" xfId="0">
      <alignment horizontal="left" vertical="center" wrapText="1"/>
    </xf>
    <xf numFmtId="0" fontId="72" fillId="0" borderId="50" applyAlignment="1" pivotButton="0" quotePrefix="0" xfId="0">
      <alignment horizontal="left" vertical="center" wrapText="1"/>
    </xf>
    <xf numFmtId="0" fontId="72" fillId="0" borderId="25" applyAlignment="1" pivotButton="0" quotePrefix="0" xfId="0">
      <alignment horizontal="left" vertical="center" wrapText="1"/>
    </xf>
    <xf numFmtId="0" fontId="72" fillId="0" borderId="40" applyAlignment="1" pivotButton="0" quotePrefix="0" xfId="0">
      <alignment horizontal="left" vertical="center" wrapText="1"/>
    </xf>
    <xf numFmtId="0" fontId="86" fillId="0" borderId="26" applyAlignment="1" pivotButton="0" quotePrefix="0" xfId="0">
      <alignment horizontal="left" vertical="center" wrapText="1"/>
    </xf>
    <xf numFmtId="0" fontId="65" fillId="0" borderId="27" applyAlignment="1" pivotButton="0" quotePrefix="0" xfId="0">
      <alignment horizontal="left" vertical="center" wrapText="1"/>
    </xf>
    <xf numFmtId="0" fontId="65" fillId="0" borderId="20" applyAlignment="1" pivotButton="0" quotePrefix="0" xfId="0">
      <alignment horizontal="left" vertical="center" wrapText="1"/>
    </xf>
    <xf numFmtId="0" fontId="65" fillId="0" borderId="28" applyAlignment="1" pivotButton="0" quotePrefix="0" xfId="0">
      <alignment horizontal="left" vertical="center" wrapText="1"/>
    </xf>
    <xf numFmtId="0" fontId="65" fillId="0" borderId="0" applyAlignment="1" pivotButton="0" quotePrefix="0" xfId="0">
      <alignment horizontal="left" vertical="center" wrapText="1"/>
    </xf>
    <xf numFmtId="0" fontId="65" fillId="0" borderId="29" applyAlignment="1" pivotButton="0" quotePrefix="0" xfId="0">
      <alignment horizontal="left" vertical="center" wrapText="1"/>
    </xf>
    <xf numFmtId="0" fontId="65" fillId="0" borderId="50" applyAlignment="1" pivotButton="0" quotePrefix="0" xfId="0">
      <alignment horizontal="left" vertical="center" wrapText="1"/>
    </xf>
    <xf numFmtId="0" fontId="65" fillId="0" borderId="25" applyAlignment="1" pivotButton="0" quotePrefix="0" xfId="0">
      <alignment horizontal="left" vertical="center" wrapText="1"/>
    </xf>
    <xf numFmtId="0" fontId="65" fillId="0" borderId="40" applyAlignment="1" pivotButton="0" quotePrefix="0" xfId="0">
      <alignment horizontal="left" vertical="center" wrapText="1"/>
    </xf>
    <xf numFmtId="0" fontId="72" fillId="0" borderId="30" applyAlignment="1" pivotButton="0" quotePrefix="0" xfId="0">
      <alignment horizontal="left" vertical="center" wrapText="1"/>
    </xf>
    <xf numFmtId="167" fontId="65" fillId="7" borderId="6" applyAlignment="1" pivotButton="0" quotePrefix="0" xfId="2">
      <alignment horizontal="right"/>
    </xf>
    <xf numFmtId="167" fontId="65" fillId="7" borderId="5" applyAlignment="1" pivotButton="0" quotePrefix="0" xfId="2">
      <alignment horizontal="right"/>
    </xf>
    <xf numFmtId="10" fontId="65" fillId="7" borderId="6" applyAlignment="1" pivotButton="0" quotePrefix="0" xfId="3">
      <alignment horizontal="center"/>
    </xf>
    <xf numFmtId="10" fontId="65" fillId="7" borderId="13" applyAlignment="1" pivotButton="0" quotePrefix="0" xfId="3">
      <alignment horizontal="center"/>
    </xf>
    <xf numFmtId="0" fontId="87" fillId="7" borderId="1" applyAlignment="1" pivotButton="0" quotePrefix="0" xfId="0">
      <alignment horizontal="center"/>
    </xf>
    <xf numFmtId="0" fontId="87" fillId="0" borderId="6" applyAlignment="1" pivotButton="0" quotePrefix="0" xfId="0">
      <alignment horizontal="center"/>
    </xf>
    <xf numFmtId="0" fontId="87" fillId="0" borderId="5" applyAlignment="1" pivotButton="0" quotePrefix="0" xfId="0">
      <alignment horizontal="center"/>
    </xf>
    <xf numFmtId="0" fontId="87" fillId="0" borderId="13" applyAlignment="1" pivotButton="0" quotePrefix="0" xfId="0">
      <alignment horizontal="center"/>
    </xf>
    <xf numFmtId="0" fontId="87" fillId="0" borderId="51" applyAlignment="1" pivotButton="0" quotePrefix="0" xfId="0">
      <alignment horizontal="center"/>
    </xf>
    <xf numFmtId="0" fontId="65" fillId="0" borderId="14" applyAlignment="1" pivotButton="0" quotePrefix="0" xfId="0">
      <alignment horizontal="left"/>
    </xf>
    <xf numFmtId="0" fontId="65" fillId="0" borderId="15" applyAlignment="1" pivotButton="0" quotePrefix="0" xfId="0">
      <alignment horizontal="left"/>
    </xf>
    <xf numFmtId="0" fontId="54" fillId="0" borderId="7" applyAlignment="1" pivotButton="0" quotePrefix="0" xfId="0">
      <alignment horizontal="center"/>
    </xf>
    <xf numFmtId="0" fontId="54" fillId="0" borderId="17" applyAlignment="1" pivotButton="0" quotePrefix="0" xfId="0">
      <alignment horizontal="center"/>
    </xf>
    <xf numFmtId="0" fontId="54" fillId="0" borderId="16" applyAlignment="1" pivotButton="0" quotePrefix="0" xfId="0">
      <alignment horizontal="center"/>
    </xf>
    <xf numFmtId="0" fontId="56" fillId="7" borderId="1" applyAlignment="1" pivotButton="0" quotePrefix="0" xfId="0">
      <alignment horizontal="left" vertical="top" wrapText="1"/>
    </xf>
    <xf numFmtId="0" fontId="54" fillId="0" borderId="52" applyAlignment="1" pivotButton="0" quotePrefix="0" xfId="0">
      <alignment horizontal="center"/>
    </xf>
    <xf numFmtId="0" fontId="54" fillId="0" borderId="53" applyAlignment="1" pivotButton="0" quotePrefix="0" xfId="0">
      <alignment horizontal="center"/>
    </xf>
    <xf numFmtId="0" fontId="54" fillId="0" borderId="54" applyAlignment="1" pivotButton="0" quotePrefix="0" xfId="0">
      <alignment horizontal="center"/>
    </xf>
    <xf numFmtId="17" fontId="54" fillId="0" borderId="45" applyAlignment="1" pivotButton="0" quotePrefix="0" xfId="0">
      <alignment horizontal="center"/>
    </xf>
    <xf numFmtId="0" fontId="54" fillId="0" borderId="22" applyAlignment="1" pivotButton="0" quotePrefix="0" xfId="0">
      <alignment horizontal="center"/>
    </xf>
    <xf numFmtId="0" fontId="56" fillId="7" borderId="26" applyAlignment="1" pivotButton="0" quotePrefix="0" xfId="0">
      <alignment horizontal="left" vertical="top" wrapText="1"/>
    </xf>
    <xf numFmtId="0" fontId="56" fillId="7" borderId="20" applyAlignment="1" pivotButton="0" quotePrefix="0" xfId="0">
      <alignment horizontal="left" vertical="top" wrapText="1"/>
    </xf>
    <xf numFmtId="0" fontId="56" fillId="7" borderId="28" applyAlignment="1" pivotButton="0" quotePrefix="0" xfId="0">
      <alignment horizontal="left" vertical="top" wrapText="1"/>
    </xf>
    <xf numFmtId="0" fontId="56" fillId="7" borderId="29" applyAlignment="1" pivotButton="0" quotePrefix="0" xfId="0">
      <alignment horizontal="left" vertical="top" wrapText="1"/>
    </xf>
    <xf numFmtId="0" fontId="56" fillId="7" borderId="50" applyAlignment="1" pivotButton="0" quotePrefix="0" xfId="0">
      <alignment horizontal="left" vertical="top" wrapText="1"/>
    </xf>
    <xf numFmtId="0" fontId="56" fillId="7" borderId="40" applyAlignment="1" pivotButton="0" quotePrefix="0" xfId="0">
      <alignment horizontal="left" vertical="top" wrapText="1"/>
    </xf>
    <xf numFmtId="0" fontId="51" fillId="0" borderId="45" applyAlignment="1" pivotButton="0" quotePrefix="0" xfId="0">
      <alignment horizontal="center"/>
    </xf>
    <xf numFmtId="0" fontId="51" fillId="0" borderId="46" applyAlignment="1" pivotButton="0" quotePrefix="0" xfId="0">
      <alignment horizontal="center"/>
    </xf>
    <xf numFmtId="0" fontId="51" fillId="0" borderId="22" applyAlignment="1" pivotButton="0" quotePrefix="0" xfId="0">
      <alignment horizontal="center"/>
    </xf>
    <xf numFmtId="0" fontId="61" fillId="0" borderId="1" applyAlignment="1" pivotButton="0" quotePrefix="0" xfId="0">
      <alignment horizontal="center"/>
    </xf>
    <xf numFmtId="10" fontId="88" fillId="0" borderId="45" applyAlignment="1" pivotButton="0" quotePrefix="0" xfId="0">
      <alignment horizontal="center"/>
    </xf>
    <xf numFmtId="10" fontId="88" fillId="0" borderId="22" applyAlignment="1" pivotButton="0" quotePrefix="0" xfId="0">
      <alignment horizontal="center"/>
    </xf>
    <xf numFmtId="0" fontId="52" fillId="0" borderId="16" applyAlignment="1" pivotButton="0" quotePrefix="0" xfId="0">
      <alignment horizontal="center"/>
    </xf>
    <xf numFmtId="0" fontId="52" fillId="0" borderId="17" applyAlignment="1" pivotButton="0" quotePrefix="0" xfId="0">
      <alignment horizontal="center"/>
    </xf>
    <xf numFmtId="0" fontId="58" fillId="7" borderId="30" applyAlignment="1" pivotButton="0" quotePrefix="0" xfId="0">
      <alignment horizontal="left" vertical="top" wrapText="1"/>
    </xf>
    <xf numFmtId="0" fontId="58" fillId="7" borderId="0" applyAlignment="1" pivotButton="0" quotePrefix="0" xfId="0">
      <alignment horizontal="left" vertical="top" wrapText="1"/>
    </xf>
    <xf numFmtId="0" fontId="51" fillId="7" borderId="45" applyAlignment="1" pivotButton="0" quotePrefix="0" xfId="0">
      <alignment horizontal="center"/>
    </xf>
    <xf numFmtId="0" fontId="51" fillId="7" borderId="46" applyAlignment="1" pivotButton="0" quotePrefix="0" xfId="0">
      <alignment horizontal="center"/>
    </xf>
    <xf numFmtId="0" fontId="51" fillId="7" borderId="22" applyAlignment="1" pivotButton="0" quotePrefix="0" xfId="0">
      <alignment horizontal="center"/>
    </xf>
    <xf numFmtId="0" fontId="44" fillId="7" borderId="7" applyAlignment="1" pivotButton="0" quotePrefix="0" xfId="0">
      <alignment horizontal="left" wrapText="1"/>
    </xf>
    <xf numFmtId="0" fontId="44" fillId="7" borderId="16" applyAlignment="1" pivotButton="0" quotePrefix="0" xfId="0">
      <alignment horizontal="left" wrapText="1"/>
    </xf>
    <xf numFmtId="0" fontId="44" fillId="7" borderId="17" applyAlignment="1" pivotButton="0" quotePrefix="0" xfId="0">
      <alignment horizontal="left" wrapText="1"/>
    </xf>
    <xf numFmtId="0" fontId="44" fillId="7" borderId="41" applyAlignment="1" pivotButton="0" quotePrefix="0" xfId="0">
      <alignment horizontal="left" wrapText="1"/>
    </xf>
    <xf numFmtId="0" fontId="44" fillId="7" borderId="31" applyAlignment="1" pivotButton="0" quotePrefix="0" xfId="0">
      <alignment horizontal="left" wrapText="1"/>
    </xf>
    <xf numFmtId="0" fontId="44" fillId="7" borderId="32" applyAlignment="1" pivotButton="0" quotePrefix="0" xfId="0">
      <alignment horizontal="left" wrapText="1"/>
    </xf>
    <xf numFmtId="0" fontId="39" fillId="7" borderId="7" applyAlignment="1" pivotButton="0" quotePrefix="0" xfId="0">
      <alignment horizontal="left" vertical="top" wrapText="1"/>
    </xf>
    <xf numFmtId="0" fontId="39" fillId="7" borderId="16" applyAlignment="1" pivotButton="0" quotePrefix="0" xfId="0">
      <alignment horizontal="left" vertical="top" wrapText="1"/>
    </xf>
    <xf numFmtId="0" fontId="39" fillId="7" borderId="17" applyAlignment="1" pivotButton="0" quotePrefix="0" xfId="0">
      <alignment horizontal="left" vertical="top" wrapText="1"/>
    </xf>
    <xf numFmtId="0" fontId="39" fillId="7" borderId="30" applyAlignment="1" pivotButton="0" quotePrefix="0" xfId="0">
      <alignment horizontal="left" vertical="top" wrapText="1"/>
    </xf>
    <xf numFmtId="0" fontId="39" fillId="7" borderId="0" applyAlignment="1" pivotButton="0" quotePrefix="0" xfId="0">
      <alignment horizontal="left" vertical="top" wrapText="1"/>
    </xf>
    <xf numFmtId="0" fontId="39" fillId="7" borderId="18" applyAlignment="1" pivotButton="0" quotePrefix="0" xfId="0">
      <alignment horizontal="left" vertical="top" wrapText="1"/>
    </xf>
    <xf numFmtId="0" fontId="39" fillId="7" borderId="41" applyAlignment="1" pivotButton="0" quotePrefix="0" xfId="0">
      <alignment horizontal="left" vertical="top" wrapText="1"/>
    </xf>
    <xf numFmtId="0" fontId="39" fillId="7" borderId="31" applyAlignment="1" pivotButton="0" quotePrefix="0" xfId="0">
      <alignment horizontal="left" vertical="top" wrapText="1"/>
    </xf>
    <xf numFmtId="0" fontId="39" fillId="7" borderId="32" applyAlignment="1" pivotButton="0" quotePrefix="0" xfId="0">
      <alignment horizontal="left" vertical="top" wrapText="1"/>
    </xf>
    <xf numFmtId="0" fontId="0" fillId="0" borderId="27" applyAlignment="1" pivotButton="0" quotePrefix="0" xfId="0">
      <alignment horizontal="left" vertical="top" wrapText="1"/>
    </xf>
    <xf numFmtId="0" fontId="0" fillId="0" borderId="0" applyAlignment="1" pivotButton="0" quotePrefix="0" xfId="0">
      <alignment horizontal="left" vertical="top" wrapText="1"/>
    </xf>
    <xf numFmtId="0" fontId="40" fillId="5" borderId="7" applyAlignment="1" pivotButton="0" quotePrefix="0" xfId="0">
      <alignment horizontal="left" vertical="top" wrapText="1"/>
    </xf>
    <xf numFmtId="0" fontId="40" fillId="5" borderId="16" applyAlignment="1" pivotButton="0" quotePrefix="0" xfId="0">
      <alignment horizontal="left" vertical="top" wrapText="1"/>
    </xf>
    <xf numFmtId="0" fontId="40" fillId="5" borderId="17" applyAlignment="1" pivotButton="0" quotePrefix="0" xfId="0">
      <alignment horizontal="left" vertical="top" wrapText="1"/>
    </xf>
    <xf numFmtId="0" fontId="40" fillId="5" borderId="30" applyAlignment="1" pivotButton="0" quotePrefix="0" xfId="0">
      <alignment horizontal="left" vertical="top" wrapText="1"/>
    </xf>
    <xf numFmtId="0" fontId="40" fillId="5" borderId="0" applyAlignment="1" pivotButton="0" quotePrefix="0" xfId="0">
      <alignment horizontal="left" vertical="top" wrapText="1"/>
    </xf>
    <xf numFmtId="0" fontId="40" fillId="5" borderId="18" applyAlignment="1" pivotButton="0" quotePrefix="0" xfId="0">
      <alignment horizontal="left" vertical="top" wrapText="1"/>
    </xf>
    <xf numFmtId="0" fontId="40" fillId="5" borderId="41" applyAlignment="1" pivotButton="0" quotePrefix="0" xfId="0">
      <alignment horizontal="left" vertical="top" wrapText="1"/>
    </xf>
    <xf numFmtId="0" fontId="40" fillId="5" borderId="31" applyAlignment="1" pivotButton="0" quotePrefix="0" xfId="0">
      <alignment horizontal="left" vertical="top" wrapText="1"/>
    </xf>
    <xf numFmtId="0" fontId="40" fillId="5" borderId="32" applyAlignment="1" pivotButton="0" quotePrefix="0" xfId="0">
      <alignment horizontal="left" vertical="top" wrapText="1"/>
    </xf>
    <xf numFmtId="0" fontId="0" fillId="7" borderId="1" applyAlignment="1" pivotButton="0" quotePrefix="0" xfId="0">
      <alignment horizontal="left" vertical="top" wrapText="1"/>
    </xf>
    <xf numFmtId="0" fontId="11" fillId="11" borderId="0" applyAlignment="1" pivotButton="0" quotePrefix="0" xfId="0">
      <alignment horizontal="center" vertical="center" wrapText="1"/>
    </xf>
    <xf numFmtId="0" fontId="2" fillId="7" borderId="1" applyAlignment="1" pivotButton="0" quotePrefix="0" xfId="0">
      <alignment horizontal="left" vertical="top" wrapText="1"/>
    </xf>
    <xf numFmtId="0" fontId="25" fillId="0" borderId="27" applyAlignment="1" pivotButton="0" quotePrefix="0" xfId="0">
      <alignment horizontal="center"/>
    </xf>
    <xf numFmtId="0" fontId="41" fillId="0" borderId="45" applyAlignment="1" pivotButton="0" quotePrefix="0" xfId="0">
      <alignment horizontal="center"/>
    </xf>
    <xf numFmtId="0" fontId="41" fillId="0" borderId="46" applyAlignment="1" pivotButton="0" quotePrefix="0" xfId="0">
      <alignment horizontal="center"/>
    </xf>
    <xf numFmtId="0" fontId="41" fillId="0" borderId="22" applyAlignment="1" pivotButton="0" quotePrefix="0" xfId="0">
      <alignment horizontal="center"/>
    </xf>
    <xf numFmtId="0" fontId="27" fillId="0" borderId="45" applyAlignment="1" pivotButton="0" quotePrefix="0" xfId="0">
      <alignment horizontal="center"/>
    </xf>
    <xf numFmtId="0" fontId="27" fillId="0" borderId="46" applyAlignment="1" pivotButton="0" quotePrefix="0" xfId="0">
      <alignment horizontal="center"/>
    </xf>
    <xf numFmtId="0" fontId="27" fillId="0" borderId="22" applyAlignment="1" pivotButton="0" quotePrefix="0" xfId="0">
      <alignment horizontal="center"/>
    </xf>
    <xf numFmtId="0" fontId="27" fillId="0" borderId="16" applyAlignment="1" pivotButton="0" quotePrefix="0" xfId="0">
      <alignment horizontal="center"/>
    </xf>
    <xf numFmtId="0" fontId="28" fillId="7" borderId="45" applyAlignment="1" pivotButton="0" quotePrefix="0" xfId="0">
      <alignment horizontal="center"/>
    </xf>
    <xf numFmtId="0" fontId="28" fillId="7" borderId="46" applyAlignment="1" pivotButton="0" quotePrefix="0" xfId="0">
      <alignment horizontal="center"/>
    </xf>
    <xf numFmtId="0" fontId="28" fillId="7" borderId="22" applyAlignment="1" pivotButton="0" quotePrefix="0" xfId="0">
      <alignment horizontal="center"/>
    </xf>
    <xf numFmtId="0" fontId="89" fillId="0" borderId="3" applyAlignment="1" pivotButton="0" quotePrefix="0" xfId="0">
      <alignment horizontal="center" vertical="center" textRotation="90" wrapText="1"/>
    </xf>
    <xf numFmtId="0" fontId="89" fillId="0" borderId="51" applyAlignment="1" pivotButton="0" quotePrefix="0" xfId="0">
      <alignment horizontal="center" vertical="center" textRotation="90" wrapText="1"/>
    </xf>
    <xf numFmtId="0" fontId="89" fillId="0" borderId="9" applyAlignment="1" pivotButton="0" quotePrefix="0" xfId="0">
      <alignment horizontal="center" vertical="center" textRotation="90" wrapText="1"/>
    </xf>
    <xf numFmtId="0" fontId="0" fillId="0" borderId="0" applyAlignment="1" pivotButton="0" quotePrefix="0" xfId="0">
      <alignment horizontal="center"/>
    </xf>
    <xf numFmtId="0" fontId="67" fillId="0" borderId="25" applyAlignment="1" pivotButton="0" quotePrefix="0" xfId="0">
      <alignment horizontal="center"/>
    </xf>
    <xf numFmtId="2" fontId="67" fillId="0" borderId="25" applyAlignment="1" pivotButton="0" quotePrefix="0" xfId="0">
      <alignment horizontal="center"/>
    </xf>
    <xf numFmtId="166" fontId="0" fillId="0" borderId="28" applyAlignment="1" pivotButton="0" quotePrefix="0" xfId="0">
      <alignment horizontal="center" vertical="center" wrapText="1"/>
    </xf>
    <xf numFmtId="0" fontId="43" fillId="7" borderId="57" applyAlignment="1" pivotButton="0" quotePrefix="0" xfId="0">
      <alignment horizontal="left" vertical="top" wrapText="1"/>
    </xf>
    <xf numFmtId="0" fontId="0" fillId="7" borderId="58" applyAlignment="1" pivotButton="0" quotePrefix="0" xfId="0">
      <alignment horizontal="left" vertical="top" wrapText="1"/>
    </xf>
    <xf numFmtId="0" fontId="0" fillId="7" borderId="59" applyAlignment="1" pivotButton="0" quotePrefix="0" xfId="0">
      <alignment horizontal="left" vertical="top" wrapText="1"/>
    </xf>
    <xf numFmtId="0" fontId="0" fillId="7" borderId="60" applyAlignment="1" pivotButton="0" quotePrefix="0" xfId="0">
      <alignment horizontal="left" vertical="top" wrapText="1"/>
    </xf>
    <xf numFmtId="0" fontId="0" fillId="7" borderId="0" applyAlignment="1" pivotButton="0" quotePrefix="0" xfId="0">
      <alignment horizontal="left" vertical="top" wrapText="1"/>
    </xf>
    <xf numFmtId="0" fontId="0" fillId="7" borderId="61" applyAlignment="1" pivotButton="0" quotePrefix="0" xfId="0">
      <alignment horizontal="left" vertical="top" wrapText="1"/>
    </xf>
    <xf numFmtId="0" fontId="0" fillId="7" borderId="62" applyAlignment="1" pivotButton="0" quotePrefix="0" xfId="0">
      <alignment horizontal="left" vertical="top" wrapText="1"/>
    </xf>
    <xf numFmtId="0" fontId="0" fillId="7" borderId="63" applyAlignment="1" pivotButton="0" quotePrefix="0" xfId="0">
      <alignment horizontal="left" vertical="top" wrapText="1"/>
    </xf>
    <xf numFmtId="0" fontId="0" fillId="7" borderId="64" applyAlignment="1" pivotButton="0" quotePrefix="0" xfId="0">
      <alignment horizontal="left" vertical="top" wrapText="1"/>
    </xf>
    <xf numFmtId="0" fontId="1" fillId="7" borderId="26" applyAlignment="1" pivotButton="0" quotePrefix="0" xfId="0">
      <alignment horizontal="left" vertical="top" wrapText="1"/>
    </xf>
    <xf numFmtId="0" fontId="65" fillId="7" borderId="5" applyAlignment="1" pivotButton="0" quotePrefix="0" xfId="0">
      <alignment horizontal="left" wrapText="1"/>
    </xf>
    <xf numFmtId="0" fontId="46" fillId="0" borderId="2" applyAlignment="1" pivotButton="0" quotePrefix="0" xfId="0">
      <alignment horizontal="center"/>
    </xf>
    <xf numFmtId="0" fontId="0" fillId="0" borderId="46" pivotButton="0" quotePrefix="0" xfId="0"/>
    <xf numFmtId="0" fontId="0" fillId="0" borderId="22" pivotButton="0" quotePrefix="0" xfId="0"/>
    <xf numFmtId="164" fontId="45" fillId="4" borderId="1" applyAlignment="1" pivotButton="0" quotePrefix="0" xfId="2">
      <alignment horizontal="center"/>
    </xf>
    <xf numFmtId="164" fontId="45" fillId="8" borderId="13" applyAlignment="1" pivotButton="0" quotePrefix="0" xfId="0">
      <alignment horizontal="center"/>
    </xf>
    <xf numFmtId="164" fontId="75" fillId="10" borderId="13" pivotButton="0" quotePrefix="0" xfId="0"/>
    <xf numFmtId="164" fontId="45" fillId="4" borderId="9" applyAlignment="1" pivotButton="0" quotePrefix="0" xfId="2">
      <alignment horizontal="center"/>
    </xf>
    <xf numFmtId="0" fontId="0" fillId="0" borderId="5" pivotButton="0" quotePrefix="0" xfId="0"/>
    <xf numFmtId="0" fontId="0" fillId="0" borderId="13" pivotButton="0" quotePrefix="0" xfId="0"/>
    <xf numFmtId="164" fontId="45" fillId="0" borderId="0" applyAlignment="1" pivotButton="0" quotePrefix="0" xfId="2">
      <alignment horizontal="center"/>
    </xf>
    <xf numFmtId="0" fontId="46" fillId="0" borderId="42" applyAlignment="1" pivotButton="0" quotePrefix="0" xfId="0">
      <alignment horizontal="left"/>
    </xf>
    <xf numFmtId="0" fontId="0" fillId="0" borderId="16" pivotButton="0" quotePrefix="0" xfId="0"/>
    <xf numFmtId="0" fontId="0" fillId="0" borderId="17" pivotButton="0" quotePrefix="0" xfId="0"/>
    <xf numFmtId="167" fontId="45" fillId="5" borderId="1" pivotButton="0" quotePrefix="0" xfId="0"/>
    <xf numFmtId="0" fontId="75" fillId="0" borderId="65" applyAlignment="1" pivotButton="0" quotePrefix="0" xfId="0">
      <alignment horizontal="center" wrapText="1"/>
    </xf>
    <xf numFmtId="0" fontId="0" fillId="0" borderId="18" pivotButton="0" quotePrefix="0" xfId="0"/>
    <xf numFmtId="166" fontId="45" fillId="4" borderId="1" applyAlignment="1" pivotButton="0" quotePrefix="0" xfId="0">
      <alignment horizontal="center"/>
    </xf>
    <xf numFmtId="166" fontId="45" fillId="0" borderId="0" applyAlignment="1" pivotButton="0" quotePrefix="0" xfId="0">
      <alignment horizontal="center"/>
    </xf>
    <xf numFmtId="164" fontId="45" fillId="8" borderId="1" applyAlignment="1" pivotButton="0" quotePrefix="0" xfId="0">
      <alignment horizontal="center"/>
    </xf>
    <xf numFmtId="166" fontId="45" fillId="7" borderId="0" applyAlignment="1" pivotButton="0" quotePrefix="0" xfId="0">
      <alignment horizontal="center"/>
    </xf>
    <xf numFmtId="166" fontId="43" fillId="4"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64" fontId="82" fillId="9" borderId="1" applyAlignment="1" pivotButton="0" quotePrefix="0" xfId="2">
      <alignment horizontal="center"/>
    </xf>
    <xf numFmtId="164" fontId="83" fillId="9" borderId="1" pivotButton="0" quotePrefix="0" xfId="0"/>
    <xf numFmtId="164" fontId="21" fillId="5" borderId="1" applyAlignment="1" pivotButton="0" quotePrefix="0" xfId="0">
      <alignment horizontal="center"/>
    </xf>
    <xf numFmtId="168" fontId="21" fillId="5"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21" fillId="5" borderId="1" pivotButton="0" quotePrefix="0" xfId="0"/>
    <xf numFmtId="166" fontId="21" fillId="5" borderId="1" pivotButton="0" quotePrefix="0" xfId="0"/>
    <xf numFmtId="165" fontId="21" fillId="5" borderId="1" pivotButton="0" quotePrefix="0" xfId="0"/>
    <xf numFmtId="164" fontId="63" fillId="5" borderId="1" pivotButton="0" quotePrefix="0" xfId="2"/>
    <xf numFmtId="167" fontId="21" fillId="5" borderId="1" pivotButton="0" quotePrefix="0" xfId="0"/>
    <xf numFmtId="167" fontId="21" fillId="5" borderId="1" applyAlignment="1" pivotButton="0" quotePrefix="0" xfId="0">
      <alignment horizontal="center"/>
    </xf>
    <xf numFmtId="0" fontId="68" fillId="0" borderId="1" applyAlignment="1" pivotButton="0" quotePrefix="0" xfId="0">
      <alignment horizontal="center"/>
    </xf>
    <xf numFmtId="0" fontId="1" fillId="7" borderId="1" applyAlignment="1" pivotButton="0" quotePrefix="0" xfId="0">
      <alignment horizontal="left" vertical="top" wrapText="1"/>
    </xf>
    <xf numFmtId="0" fontId="0" fillId="0" borderId="27" pivotButton="0" quotePrefix="0" xfId="0"/>
    <xf numFmtId="0" fontId="0" fillId="0" borderId="20" pivotButton="0" quotePrefix="0" xfId="0"/>
    <xf numFmtId="0" fontId="84" fillId="0" borderId="1" applyAlignment="1" pivotButton="0" quotePrefix="0" xfId="0">
      <alignment horizontal="left" wrapText="1"/>
    </xf>
    <xf numFmtId="0" fontId="0" fillId="0" borderId="28" pivotButton="0" quotePrefix="0" xfId="0"/>
    <xf numFmtId="0" fontId="0" fillId="0" borderId="29" pivotButton="0" quotePrefix="0" xfId="0"/>
    <xf numFmtId="0" fontId="0" fillId="0" borderId="50" pivotButton="0" quotePrefix="0" xfId="0"/>
    <xf numFmtId="0" fontId="0" fillId="0" borderId="25" pivotButton="0" quotePrefix="0" xfId="0"/>
    <xf numFmtId="0" fontId="0" fillId="0" borderId="40" pivotButton="0" quotePrefix="0" xfId="0"/>
    <xf numFmtId="0" fontId="87" fillId="0" borderId="1" applyAlignment="1" pivotButton="0" quotePrefix="0" xfId="0">
      <alignment horizontal="center"/>
    </xf>
    <xf numFmtId="166" fontId="65" fillId="0" borderId="1" applyAlignment="1" pivotButton="0" quotePrefix="0" xfId="2">
      <alignment horizontal="center"/>
    </xf>
    <xf numFmtId="174" fontId="71" fillId="0" borderId="1" applyAlignment="1" pivotButton="0" quotePrefix="0" xfId="3">
      <alignment horizontal="center"/>
    </xf>
    <xf numFmtId="0" fontId="72" fillId="0" borderId="1" applyAlignment="1" pivotButton="0" quotePrefix="0" xfId="0">
      <alignment horizontal="left" vertical="center" wrapText="1"/>
    </xf>
    <xf numFmtId="10" fontId="65" fillId="7" borderId="1" applyAlignment="1" pivotButton="0" quotePrefix="0" xfId="3">
      <alignment horizontal="center"/>
    </xf>
    <xf numFmtId="0" fontId="86" fillId="0" borderId="1" applyAlignment="1" pivotButton="0" quotePrefix="0" xfId="0">
      <alignment horizontal="left" vertical="center" wrapText="1"/>
    </xf>
    <xf numFmtId="166" fontId="65" fillId="0" borderId="6" applyAlignment="1" pivotButton="0" quotePrefix="0" xfId="2">
      <alignment horizontal="center"/>
    </xf>
    <xf numFmtId="166" fontId="65" fillId="0" borderId="15" applyAlignment="1" pivotButton="0" quotePrefix="0" xfId="2">
      <alignment horizontal="center"/>
    </xf>
    <xf numFmtId="0" fontId="65" fillId="0" borderId="8" applyAlignment="1" pivotButton="0" quotePrefix="0" xfId="0">
      <alignment horizontal="left"/>
    </xf>
    <xf numFmtId="0" fontId="0" fillId="0" borderId="48" pivotButton="0" quotePrefix="0" xfId="0"/>
    <xf numFmtId="0" fontId="0" fillId="0" borderId="49" pivotButton="0" quotePrefix="0" xfId="0"/>
    <xf numFmtId="166" fontId="65" fillId="7" borderId="23" pivotButton="0" quotePrefix="0" xfId="2"/>
    <xf numFmtId="167" fontId="65" fillId="0" borderId="16" pivotButton="0" quotePrefix="0" xfId="2"/>
    <xf numFmtId="166" fontId="65" fillId="7" borderId="1" pivotButton="0" quotePrefix="0" xfId="2"/>
    <xf numFmtId="167" fontId="65" fillId="0" borderId="0" pivotButton="0" quotePrefix="0" xfId="2"/>
    <xf numFmtId="0" fontId="0" fillId="0" borderId="30" pivotButton="0" quotePrefix="0" xfId="0"/>
    <xf numFmtId="166" fontId="65" fillId="7" borderId="6" pivotButton="0" quotePrefix="0" xfId="2"/>
    <xf numFmtId="167" fontId="65" fillId="7" borderId="6" applyAlignment="1" pivotButton="0" quotePrefix="0" xfId="2">
      <alignment horizontal="right"/>
    </xf>
    <xf numFmtId="0" fontId="0" fillId="0" borderId="33" pivotButton="0" quotePrefix="0" xfId="0"/>
    <xf numFmtId="0" fontId="0" fillId="0" borderId="67" pivotButton="0" quotePrefix="0" xfId="0"/>
    <xf numFmtId="166" fontId="72" fillId="7" borderId="21" pivotButton="0" quotePrefix="0" xfId="2"/>
    <xf numFmtId="166" fontId="65" fillId="0" borderId="22" applyAlignment="1" pivotButton="0" quotePrefix="0" xfId="0">
      <alignment horizontal="left"/>
    </xf>
    <xf numFmtId="164" fontId="0" fillId="0" borderId="0" pivotButton="0" quotePrefix="0" xfId="0"/>
    <xf numFmtId="0" fontId="51" fillId="0" borderId="2" applyAlignment="1" pivotButton="0" quotePrefix="0" xfId="0">
      <alignment horizontal="center"/>
    </xf>
    <xf numFmtId="17" fontId="54" fillId="0" borderId="2" applyAlignment="1" pivotButton="0" quotePrefix="0" xfId="0">
      <alignment horizontal="center"/>
    </xf>
    <xf numFmtId="0" fontId="0" fillId="0" borderId="68" pivotButton="0" quotePrefix="0" xfId="0"/>
    <xf numFmtId="0" fontId="54" fillId="0" borderId="42" applyAlignment="1" pivotButton="0" quotePrefix="0" xfId="0">
      <alignment horizontal="center"/>
    </xf>
    <xf numFmtId="177" fontId="56" fillId="0" borderId="1" pivotButton="0" quotePrefix="0" xfId="0"/>
    <xf numFmtId="164" fontId="56" fillId="7" borderId="8" pivotButton="0" quotePrefix="0" xfId="0"/>
    <xf numFmtId="167" fontId="56" fillId="7" borderId="43" pivotButton="0" quotePrefix="0" xfId="0"/>
    <xf numFmtId="167" fontId="56" fillId="7" borderId="35" pivotButton="0" quotePrefix="0" xfId="0"/>
    <xf numFmtId="167" fontId="56" fillId="0" borderId="1" pivotButton="0" quotePrefix="0" xfId="0"/>
    <xf numFmtId="167" fontId="56" fillId="7" borderId="1" pivotButton="0" quotePrefix="0" xfId="0"/>
    <xf numFmtId="177" fontId="56" fillId="7" borderId="35" pivotButton="0" quotePrefix="0" xfId="0"/>
    <xf numFmtId="164" fontId="56" fillId="7" borderId="1" pivotButton="0" quotePrefix="0" xfId="0"/>
    <xf numFmtId="168" fontId="56" fillId="0" borderId="1" pivotButton="0" quotePrefix="0" xfId="0"/>
    <xf numFmtId="166" fontId="56" fillId="7" borderId="44" pivotButton="0" quotePrefix="0" xfId="0"/>
    <xf numFmtId="166" fontId="56" fillId="0" borderId="26" pivotButton="0" quotePrefix="0" xfId="0"/>
    <xf numFmtId="166" fontId="56" fillId="7" borderId="1" pivotButton="0" quotePrefix="0" xfId="0"/>
    <xf numFmtId="164" fontId="8" fillId="7" borderId="1" applyAlignment="1" pivotButton="0" quotePrefix="0" xfId="0">
      <alignment horizontal="center"/>
    </xf>
    <xf numFmtId="166" fontId="8" fillId="0" borderId="1" applyAlignment="1" pivotButton="0" quotePrefix="0" xfId="0">
      <alignment horizontal="center"/>
    </xf>
    <xf numFmtId="166" fontId="8" fillId="7" borderId="1" applyAlignment="1" pivotButton="0" quotePrefix="0" xfId="0">
      <alignment horizontal="center"/>
    </xf>
    <xf numFmtId="10" fontId="88" fillId="0" borderId="2" applyAlignment="1" pivotButton="0" quotePrefix="0" xfId="0">
      <alignment horizontal="center"/>
    </xf>
    <xf numFmtId="164" fontId="44" fillId="2" borderId="1" pivotButton="0" quotePrefix="0" xfId="0"/>
    <xf numFmtId="164" fontId="44" fillId="2" borderId="1" pivotButton="0" quotePrefix="0" xfId="2"/>
    <xf numFmtId="166" fontId="51" fillId="0" borderId="6" applyAlignment="1" pivotButton="0" quotePrefix="0" xfId="0">
      <alignment horizontal="center"/>
    </xf>
    <xf numFmtId="175" fontId="51" fillId="0" borderId="1" applyAlignment="1" pivotButton="0" quotePrefix="0" xfId="1">
      <alignment horizontal="center"/>
    </xf>
    <xf numFmtId="168" fontId="44" fillId="0" borderId="1" applyAlignment="1" pivotButton="0" quotePrefix="0" xfId="0">
      <alignment horizontal="center"/>
    </xf>
    <xf numFmtId="164" fontId="44" fillId="5" borderId="2" pivotButton="0" quotePrefix="0" xfId="2"/>
    <xf numFmtId="164" fontId="44" fillId="0" borderId="0" pivotButton="0" quotePrefix="0" xfId="2"/>
    <xf numFmtId="165" fontId="44" fillId="5" borderId="2" pivotButton="0" quotePrefix="0" xfId="0"/>
    <xf numFmtId="0" fontId="44" fillId="7" borderId="2" applyAlignment="1" pivotButton="0" quotePrefix="0" xfId="0">
      <alignment horizontal="left" wrapText="1"/>
    </xf>
    <xf numFmtId="0" fontId="0" fillId="0" borderId="41" pivotButton="0" quotePrefix="0" xfId="0"/>
    <xf numFmtId="0" fontId="0" fillId="0" borderId="31" pivotButton="0" quotePrefix="0" xfId="0"/>
    <xf numFmtId="0" fontId="0" fillId="0" borderId="32" pivotButton="0" quotePrefix="0" xfId="0"/>
    <xf numFmtId="164" fontId="44" fillId="5" borderId="1" pivotButton="0" quotePrefix="0" xfId="0"/>
    <xf numFmtId="166" fontId="44" fillId="5" borderId="2" pivotButton="0" quotePrefix="0" xfId="0"/>
    <xf numFmtId="0" fontId="51" fillId="7" borderId="2" applyAlignment="1" pivotButton="0" quotePrefix="0" xfId="0">
      <alignment horizontal="center"/>
    </xf>
    <xf numFmtId="164" fontId="56" fillId="3" borderId="1" pivotButton="0" quotePrefix="0" xfId="2"/>
    <xf numFmtId="164" fontId="60" fillId="0" borderId="1" pivotButton="0" quotePrefix="0" xfId="2"/>
    <xf numFmtId="164" fontId="60" fillId="0" borderId="3" pivotButton="0" quotePrefix="0" xfId="2"/>
    <xf numFmtId="164" fontId="56" fillId="0" borderId="2" pivotButton="0" quotePrefix="0" xfId="2"/>
    <xf numFmtId="164" fontId="60" fillId="0" borderId="0" pivotButton="0" quotePrefix="0" xfId="2"/>
    <xf numFmtId="164" fontId="56" fillId="0" borderId="0" pivotButton="0" quotePrefix="0" xfId="2"/>
    <xf numFmtId="166" fontId="56" fillId="0" borderId="42" pivotButton="0" quotePrefix="0" xfId="0"/>
    <xf numFmtId="176" fontId="56" fillId="0" borderId="1" pivotButton="0" quotePrefix="0" xfId="2"/>
    <xf numFmtId="0" fontId="39" fillId="7" borderId="2" applyAlignment="1" pivotButton="0" quotePrefix="0" xfId="0">
      <alignment horizontal="left" vertical="top" wrapText="1"/>
    </xf>
    <xf numFmtId="164" fontId="11" fillId="3" borderId="1" pivotButton="0" quotePrefix="0" xfId="2"/>
    <xf numFmtId="172" fontId="31" fillId="4" borderId="1" applyAlignment="1" pivotButton="0" quotePrefix="0" xfId="0">
      <alignment horizontal="right"/>
    </xf>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5" fontId="11" fillId="2" borderId="2" pivotButton="0" quotePrefix="0" xfId="0"/>
    <xf numFmtId="164" fontId="11" fillId="2" borderId="4" pivotButton="0" quotePrefix="0" xfId="0"/>
    <xf numFmtId="166" fontId="0" fillId="5" borderId="1" pivotButton="0" quotePrefix="0" xfId="0"/>
    <xf numFmtId="0" fontId="40" fillId="5" borderId="2" applyAlignment="1" pivotButton="0" quotePrefix="0" xfId="0">
      <alignment horizontal="left" vertical="top" wrapText="1"/>
    </xf>
    <xf numFmtId="0" fontId="41" fillId="0" borderId="2" applyAlignment="1" pivotButton="0" quotePrefix="0" xfId="0">
      <alignment horizontal="center"/>
    </xf>
    <xf numFmtId="164" fontId="11" fillId="5" borderId="1" pivotButton="0" quotePrefix="0" xfId="0"/>
    <xf numFmtId="169" fontId="11" fillId="5" borderId="1" pivotButton="0" quotePrefix="0" xfId="3"/>
    <xf numFmtId="169" fontId="11" fillId="5" borderId="1" pivotButton="0" quotePrefix="0" xfId="0"/>
    <xf numFmtId="171"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168" fontId="11" fillId="5" borderId="1" applyAlignment="1" pivotButton="0" quotePrefix="0" xfId="0">
      <alignment horizontal="center"/>
    </xf>
    <xf numFmtId="170" fontId="3" fillId="5" borderId="1" pivotButton="0" quotePrefix="0" xfId="2"/>
    <xf numFmtId="168" fontId="0" fillId="5" borderId="1" pivotButton="0" quotePrefix="0" xfId="0"/>
    <xf numFmtId="168" fontId="0" fillId="5" borderId="1" applyAlignment="1" pivotButton="0" quotePrefix="0" xfId="0">
      <alignment horizontal="center"/>
    </xf>
    <xf numFmtId="164" fontId="11" fillId="5" borderId="1" pivotButton="0" quotePrefix="0" xfId="2"/>
    <xf numFmtId="167" fontId="11" fillId="5" borderId="1" pivotButton="0" quotePrefix="0" xfId="2"/>
    <xf numFmtId="0" fontId="27" fillId="0" borderId="2" applyAlignment="1" pivotButton="0" quotePrefix="0" xfId="0">
      <alignment horizontal="center"/>
    </xf>
    <xf numFmtId="178" fontId="0" fillId="7" borderId="56" applyAlignment="1" pivotButton="0" quotePrefix="0" xfId="0">
      <alignment horizontal="center"/>
    </xf>
    <xf numFmtId="0" fontId="28" fillId="7" borderId="2" applyAlignment="1" pivotButton="0" quotePrefix="0" xfId="0">
      <alignment horizontal="center"/>
    </xf>
    <xf numFmtId="0" fontId="89" fillId="0" borderId="1" applyAlignment="1" pivotButton="0" quotePrefix="0" xfId="0">
      <alignment horizontal="center" vertical="center" textRotation="90" wrapText="1"/>
    </xf>
    <xf numFmtId="0" fontId="0" fillId="0" borderId="51" pivotButton="0" quotePrefix="0" xfId="0"/>
    <xf numFmtId="0" fontId="0" fillId="0" borderId="9" pivotButton="0" quotePrefix="0" xfId="0"/>
    <xf numFmtId="178" fontId="0" fillId="0" borderId="0" pivotButton="0" quotePrefix="0" xfId="0"/>
    <xf numFmtId="0" fontId="43" fillId="7" borderId="69" applyAlignment="1" pivotButton="0" quotePrefix="0" xfId="0">
      <alignment horizontal="left" vertical="top" wrapText="1"/>
    </xf>
    <xf numFmtId="0" fontId="0" fillId="0" borderId="58" pivotButton="0" quotePrefix="0" xfId="0"/>
    <xf numFmtId="0" fontId="0" fillId="0" borderId="59" pivotButton="0" quotePrefix="0" xfId="0"/>
    <xf numFmtId="0" fontId="0" fillId="0" borderId="60" pivotButton="0" quotePrefix="0" xfId="0"/>
    <xf numFmtId="0" fontId="0" fillId="0" borderId="61" pivotButton="0" quotePrefix="0" xfId="0"/>
    <xf numFmtId="0" fontId="0" fillId="0" borderId="62" pivotButton="0" quotePrefix="0" xfId="0"/>
    <xf numFmtId="0" fontId="0" fillId="0" borderId="63" pivotButton="0" quotePrefix="0" xfId="0"/>
    <xf numFmtId="0" fontId="0" fillId="0" borderId="64"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2" fillId="0" borderId="0" applyAlignment="1" pivotButton="0" quotePrefix="0" xfId="0">
      <alignment horizontal="center"/>
    </xf>
    <xf numFmtId="166" fontId="2" fillId="0" borderId="0" pivotButton="0" quotePrefix="0" xfId="0"/>
    <xf numFmtId="172" fontId="31" fillId="0" borderId="0" applyAlignment="1" pivotButton="0" quotePrefix="0" xfId="0">
      <alignment horizontal="right"/>
    </xf>
    <xf numFmtId="166" fontId="0" fillId="0" borderId="0" applyAlignment="1" pivotButton="0" quotePrefix="0" xfId="0">
      <alignment horizontal="center"/>
    </xf>
    <xf numFmtId="166" fontId="0" fillId="0" borderId="0" pivotButton="0" quotePrefix="0" xfId="0"/>
    <xf numFmtId="166" fontId="0" fillId="0" borderId="28" applyAlignment="1" pivotButton="0" quotePrefix="0" xfId="0">
      <alignment horizontal="center" vertical="center" wrapText="1"/>
    </xf>
    <xf numFmtId="166" fontId="0" fillId="4" borderId="1" applyAlignment="1" pivotButton="0" quotePrefix="0" xfId="0">
      <alignment horizontal="center"/>
    </xf>
    <xf numFmtId="164" fontId="3" fillId="4" borderId="1" applyAlignment="1" pivotButton="0" quotePrefix="0" xfId="2">
      <alignment horizontal="center"/>
    </xf>
  </cellXfs>
  <cellStyles count="4">
    <cellStyle name="Normal" xfId="0" builtinId="0"/>
    <cellStyle name="Comma" xfId="1" builtinId="3"/>
    <cellStyle name="Currency" xfId="2" builtinId="4"/>
    <cellStyle name="Percent"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Aswath Damodaran</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B9" authorId="0" shapeId="0">
      <text>
        <t>Aswath Damodaran:
If you are in multiple businesses, you can construct your own weighted averages using the industry average table from this spreadsheet and your company's business breakdown.</t>
      </text>
    </comment>
    <comment ref="D10" authorId="0" shapeId="0">
      <text>
        <t>Aswath Damodaran: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text>
    </comment>
    <comment ref="B11" authorId="0" shapeId="0">
      <text>
        <t>Aswath Damodaran:
Enter the revenues from the most recent period (you can either use annual or the trailing 12 months). If your company had no revenues, enter a very small positive number. (You need a base for your growth rate)</t>
      </text>
    </comment>
    <comment ref="C11" authorId="0" shapeId="0">
      <text>
        <t>Aswath Damodaran:
Enter the revenues from the most recent period (you can either use annual or the trailing 12 months). If your company had no revenues, enter a very small positive number. (You need a base for your growth rate)</t>
      </text>
    </comment>
    <comment ref="B12"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2"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8" authorId="0" shapeId="0">
      <text>
        <t>Aswath Damodaran:
Enter the cash balance from the most recent balance sheet. This should include marketable securities.</t>
      </text>
    </comment>
    <comment ref="C18" authorId="0" shapeId="0">
      <text>
        <t>Aswath Damodaran:
Enter the cash balance from the most recent balance sheet. This should include marketable securities.</t>
      </text>
    </comment>
    <comment ref="B19"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20"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1"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2" authorId="0" shapeId="0">
      <text>
        <t xml:space="preserve">Aswath Damodaran:
Enter the most recent stock price (how about today's?) in here. </t>
      </text>
    </comment>
    <comment ref="B23"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4" authorId="0" shapeId="0">
      <text>
        <t>Aswath Damodaran:
This is a statutory tax rate. I use the tax rate of the country the company is domiciled in. See worksheet embedded in this spreadshseet for country tax rates.</t>
      </text>
    </comment>
    <comment ref="B28"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9"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30" authorId="0" shapeId="0">
      <text>
        <t>Aswath Damodaran:
This is the forecast year in which your current margin will converge on target.</t>
      </text>
    </comment>
    <comment ref="B31"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4"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J34" authorId="0" shapeId="0">
      <text>
        <t>Aswath Damodaran:
Compare to your total market and check your market share.</t>
      </text>
    </comment>
    <comment ref="B35" authorId="0" shapeId="0">
      <text>
        <t xml:space="preserve">Aswath Damodaran:
Enter the current cost of capital for your firm. If you don't know what it is, you can use the built-in worksheet to compute it. </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8" authorId="0" shapeId="0">
      <text>
        <t>Aswath Damodaran:
Check your company's annual report or 10K. If it does have options outstanding, enter the total number here (vested and non vested, in the money and out…)</t>
      </text>
    </comment>
    <comment ref="B39" authorId="0" shapeId="0">
      <text>
        <t>Aswath Damodaran:
Enter the weighted average strike price of your options. (Should be in your 10K or annual report.)</t>
      </text>
    </comment>
    <comment ref="B40" authorId="0" shapeId="0">
      <text>
        <t>Aswath Damodaran:
The weighted average maturity of your options should be reported in your financial statements.</t>
      </text>
    </comment>
    <comment ref="B41" authorId="0" shapeId="0">
      <text>
        <t>Aswath Damodaran:
If you have a standard deviation for your stock, enter that number. If not, use the industry average standard deviation from the worksheet.</t>
      </text>
    </comment>
    <comment ref="B49" authorId="0" shapeId="0">
      <text>
        <t xml:space="preserve">Aswath Damodaran:
Even if you believe your firm has significant competitive advantages, don't set this number to more than 5% more than your cost of capital. </t>
      </text>
    </comment>
    <comment ref="B52"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53"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54"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2" authorId="0" shapeId="0">
      <text>
        <t>Aswath Damodaran:
This is the NOL from prior years carried forward into this year.</t>
      </text>
    </comment>
    <comment ref="B68" authorId="0" shapeId="0">
      <text>
        <t xml:space="preserve">Aswath Damodaran:
Be VERY, VERY careful. This is a growth rate in perpetuity, after year 10. Entering numbers significantly (more than 1%) higher than the risk free rate will render your valuation close to useless.
</t>
      </text>
    </comment>
    <comment ref="B71"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72"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Microsoft Office User</author>
  </authors>
  <commentList>
    <comment ref="B1" authorId="0" shapeId="0">
      <text>
        <t>Microsoft Office User:
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1282700</colOff>
      <row>0</row>
      <rowOff>0</rowOff>
    </from>
    <to>
      <col>14</col>
      <colOff>635000</colOff>
      <row>16</row>
      <rowOff>165100</rowOff>
    </to>
    <pic>
      <nvPicPr>
        <cNvPr id="1160" name="Picture 5"/>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8072100" y="0"/>
          <a:ext cx="3162300" cy="34417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N74"/>
  <sheetViews>
    <sheetView topLeftCell="A12" zoomScaleNormal="100" workbookViewId="0">
      <selection activeCell="B35" sqref="B35"/>
    </sheetView>
  </sheetViews>
  <sheetFormatPr baseColWidth="10" defaultRowHeight="12"/>
  <cols>
    <col width="73.6640625" customWidth="1" style="3" min="1" max="1"/>
    <col width="26.5" customWidth="1" style="3" min="2" max="2"/>
    <col width="23.1640625" customWidth="1" style="3" min="3" max="3"/>
    <col width="16.6640625" customWidth="1" style="3" min="4" max="4"/>
    <col width="10.83203125" customWidth="1" style="3" min="5" max="7"/>
    <col width="11" bestFit="1" customWidth="1" style="3" min="8" max="8"/>
    <col width="21.83203125" customWidth="1" style="3" min="9" max="9"/>
    <col width="15" bestFit="1" customWidth="1" style="3" min="10" max="10"/>
    <col width="17.5" bestFit="1" customWidth="1" style="3" min="11" max="11"/>
    <col width="10.83203125" customWidth="1" style="3" min="12" max="16384"/>
  </cols>
  <sheetData>
    <row r="1" ht="16" customFormat="1" customHeight="1" s="203">
      <c r="B1" s="248" t="n"/>
      <c r="C1" s="203" t="inlineStr">
        <is>
          <t>Input cell</t>
        </is>
      </c>
      <c r="D1" s="249" t="n"/>
      <c r="E1" s="203" t="inlineStr">
        <is>
          <t>Calculated cell</t>
        </is>
      </c>
    </row>
    <row r="2" ht="16" customFormat="1" customHeight="1" s="204"/>
    <row r="3" ht="16" customFormat="1" customHeight="1" s="204">
      <c r="A3" s="205" t="inlineStr">
        <is>
          <t>Date of valuation</t>
        </is>
      </c>
      <c r="B3" s="206" t="inlineStr">
        <is>
          <t>01/11/2025</t>
        </is>
      </c>
      <c r="C3" s="207" t="inlineStr">
        <is>
          <t>Important: Before you run this spreadsheet, go into preferences in Excel and check under Calculation options</t>
        </is>
      </c>
      <c r="D3" s="208" t="n"/>
      <c r="E3" s="208" t="n"/>
      <c r="F3" s="208" t="n"/>
      <c r="G3" s="208" t="n"/>
      <c r="H3" s="208" t="n"/>
      <c r="I3" s="208" t="n"/>
      <c r="J3" s="209" t="n"/>
    </row>
    <row r="4" ht="17" customFormat="1" customHeight="1" s="204" thickBot="1">
      <c r="A4" s="205" t="inlineStr">
        <is>
          <t>Company name</t>
        </is>
      </c>
      <c r="B4" s="210" t="inlineStr">
        <is>
          <t>Meta</t>
        </is>
      </c>
      <c r="C4" s="211" t="inlineStr">
        <is>
          <t>There should be a check against the iteration box. If there is not, you will get circular reasoning errors.</t>
        </is>
      </c>
      <c r="J4" s="212" t="n"/>
    </row>
    <row r="5" ht="17" customFormat="1" customHeight="1" s="204" thickBot="1">
      <c r="A5" s="619" t="inlineStr">
        <is>
          <t>Numbers from your base year below ( in consistent units)</t>
        </is>
      </c>
      <c r="B5" s="620" t="n"/>
      <c r="C5" s="620" t="n"/>
      <c r="D5" s="620" t="n"/>
      <c r="E5" s="620" t="n"/>
      <c r="F5" s="620" t="n"/>
      <c r="G5" s="620" t="n"/>
      <c r="H5" s="620" t="n"/>
      <c r="I5" s="620" t="n"/>
      <c r="J5" s="621" t="n"/>
    </row>
    <row r="6" ht="16" customFormat="1" customHeight="1" s="204">
      <c r="A6" s="205" t="n"/>
      <c r="B6" s="205" t="inlineStr">
        <is>
          <t>This year</t>
        </is>
      </c>
      <c r="C6" s="205" t="inlineStr">
        <is>
          <t>Last year</t>
        </is>
      </c>
      <c r="E6" s="250" t="inlineStr">
        <is>
          <t>Updated in January 2024 with updated Industry averages and risk premiums</t>
        </is>
      </c>
      <c r="F6" s="213" t="n"/>
      <c r="G6" s="213" t="n"/>
      <c r="H6" s="213" t="n"/>
      <c r="I6" s="213" t="n"/>
      <c r="J6" s="213" t="n"/>
    </row>
    <row r="7" ht="16" customFormat="1" customHeight="1" s="204">
      <c r="A7" s="204" t="inlineStr">
        <is>
          <t>Country of incorporation</t>
        </is>
      </c>
      <c r="B7" s="214" t="inlineStr">
        <is>
          <t>United States</t>
        </is>
      </c>
      <c r="C7" s="205" t="n"/>
    </row>
    <row r="8" ht="16" customFormat="1" customHeight="1" s="204">
      <c r="A8" s="204" t="inlineStr">
        <is>
          <t>Industry (US)</t>
        </is>
      </c>
      <c r="B8" s="214" t="inlineStr">
        <is>
          <t>Advertising</t>
        </is>
      </c>
    </row>
    <row r="9" ht="16" customFormat="1" customHeight="1" s="204">
      <c r="A9" s="204" t="inlineStr">
        <is>
          <t>Industry (Global)</t>
        </is>
      </c>
      <c r="B9" s="214" t="inlineStr">
        <is>
          <t>Advertising</t>
        </is>
      </c>
    </row>
    <row r="10" ht="16" customFormat="1" customHeight="1" s="204">
      <c r="B10" s="471" t="inlineStr">
        <is>
          <t>Most Recent 12 months</t>
        </is>
      </c>
      <c r="C10" s="471" t="inlineStr">
        <is>
          <t>Last 10K</t>
        </is>
      </c>
      <c r="D10" s="215" t="inlineStr">
        <is>
          <t>Years since last 10K</t>
        </is>
      </c>
    </row>
    <row r="11" ht="16" customFormat="1" customHeight="1" s="204">
      <c r="A11" s="216" t="inlineStr">
        <is>
          <t>Revenues</t>
        </is>
      </c>
      <c r="B11" s="622" t="n">
        <v>175154</v>
      </c>
      <c r="C11" s="622" t="n">
        <v>164501</v>
      </c>
      <c r="D11" s="214" t="n">
        <v>0.75</v>
      </c>
    </row>
    <row r="12" ht="16" customFormat="1" customHeight="1" s="204">
      <c r="A12" s="216" t="inlineStr">
        <is>
          <t>Operating income or EBIT</t>
        </is>
      </c>
      <c r="B12" s="622" t="n">
        <v>72954</v>
      </c>
      <c r="C12" s="622" t="n">
        <v>69769</v>
      </c>
      <c r="D12" s="214" t="n">
        <v>0.75</v>
      </c>
    </row>
    <row r="13" ht="16" customFormat="1" customHeight="1" s="204">
      <c r="A13" s="216" t="inlineStr">
        <is>
          <t>Interest expense</t>
        </is>
      </c>
      <c r="B13" s="622" t="n">
        <v>734</v>
      </c>
      <c r="C13" s="622" t="n">
        <v>715</v>
      </c>
      <c r="D13" s="218" t="n"/>
    </row>
    <row r="14" ht="16" customFormat="1" customHeight="1" s="204">
      <c r="A14" s="216" t="inlineStr">
        <is>
          <t>Book value of equity</t>
        </is>
      </c>
      <c r="B14" s="622" t="n">
        <v>194066</v>
      </c>
      <c r="C14" s="622" t="n">
        <v>182637</v>
      </c>
      <c r="D14" s="218" t="n"/>
    </row>
    <row r="15" ht="16" customFormat="1" customHeight="1" s="204">
      <c r="A15" s="216" t="inlineStr">
        <is>
          <t>Book value of debt</t>
        </is>
      </c>
      <c r="B15" s="622" t="n">
        <v>51060</v>
      </c>
      <c r="C15" s="622" t="n">
        <v>49769</v>
      </c>
      <c r="D15" s="218" t="n"/>
    </row>
    <row r="16" ht="16" customFormat="1" customHeight="1" s="204">
      <c r="A16" s="216" t="inlineStr">
        <is>
          <t>Do you have R&amp;D expenses to capitalize?</t>
        </is>
      </c>
      <c r="B16" s="623" t="inlineStr">
        <is>
          <t>Yes</t>
        </is>
      </c>
      <c r="C16" s="624" t="inlineStr">
        <is>
          <t xml:space="preserve">If you want to capitalize R&amp;D, you have to input the numbers into the R&amp;D worksheet. </t>
        </is>
      </c>
      <c r="D16" s="218" t="n"/>
    </row>
    <row r="17" ht="16" customFormat="1" customHeight="1" s="204">
      <c r="A17" s="216" t="inlineStr">
        <is>
          <t>Do you have operating lease commitments?</t>
        </is>
      </c>
      <c r="B17" s="623" t="inlineStr">
        <is>
          <t>No</t>
        </is>
      </c>
      <c r="C17" s="218" t="inlineStr">
        <is>
          <t>If you lease or other contractual commitments that have not been converteed to debt already, say yes to this option and do the conversion.</t>
        </is>
      </c>
      <c r="D17" s="218" t="n"/>
    </row>
    <row r="18" ht="16" customFormat="1" customHeight="1" s="204">
      <c r="A18" s="216" t="inlineStr">
        <is>
          <t>Cash and Marketable Securities</t>
        </is>
      </c>
      <c r="B18" s="622" t="n">
        <v>44448</v>
      </c>
      <c r="C18" s="622" t="n">
        <v>77815</v>
      </c>
      <c r="D18" s="218" t="n"/>
    </row>
    <row r="19" ht="16" customFormat="1" customHeight="1" s="204">
      <c r="A19" s="216" t="inlineStr">
        <is>
          <t>Cross holdings and other non-operating assets</t>
        </is>
      </c>
      <c r="B19" s="625" t="n">
        <v>0</v>
      </c>
      <c r="C19" s="622" t="n">
        <v>0</v>
      </c>
      <c r="D19" s="218" t="n"/>
    </row>
    <row r="20" ht="16" customFormat="1" customHeight="1" s="204">
      <c r="A20" s="216" t="inlineStr">
        <is>
          <t>Minority interests</t>
        </is>
      </c>
      <c r="B20" s="625" t="n">
        <v>0</v>
      </c>
      <c r="C20" s="622" t="n">
        <v>0</v>
      </c>
      <c r="D20" s="218" t="n"/>
    </row>
    <row r="21" ht="16" customFormat="1" customHeight="1" s="204">
      <c r="A21" s="216" t="inlineStr">
        <is>
          <t>Number of shares outstanding =</t>
        </is>
      </c>
      <c r="B21" s="221" t="n">
        <v>2572</v>
      </c>
      <c r="C21" s="218" t="n"/>
      <c r="E21" s="472" t="inlineStr">
        <is>
          <t>Computed numbers: Here is what your company's numbers look like, relative to industry.</t>
        </is>
      </c>
    </row>
    <row r="22" ht="16" customFormat="1" customHeight="1" s="204">
      <c r="A22" s="216" t="inlineStr">
        <is>
          <t>Current stock price =</t>
        </is>
      </c>
      <c r="B22" s="622" t="n">
        <v>651.2899780273438</v>
      </c>
      <c r="C22" s="218" t="n"/>
      <c r="E22" s="239" t="inlineStr">
        <is>
          <t>If you are not working in US dollars, you should add the inflation differential to the industry averages.</t>
        </is>
      </c>
    </row>
    <row r="23" ht="16" customFormat="1" customHeight="1" s="204">
      <c r="A23" s="204" t="inlineStr">
        <is>
          <t>Effective tax rate =</t>
        </is>
      </c>
      <c r="B23" s="222" t="n">
        <v>0.8749</v>
      </c>
      <c r="C23" s="218" t="n"/>
      <c r="E23" s="205" t="n"/>
      <c r="J23" s="215" t="inlineStr">
        <is>
          <t>Industry (US)</t>
        </is>
      </c>
      <c r="K23" s="215" t="inlineStr">
        <is>
          <t>Industry (Global)</t>
        </is>
      </c>
      <c r="L23" s="471" t="inlineStr">
        <is>
          <t>Global Distribution Stats</t>
        </is>
      </c>
      <c r="M23" s="626" t="n"/>
      <c r="N23" s="627" t="n"/>
    </row>
    <row r="24" ht="16" customFormat="1" customHeight="1" s="204">
      <c r="A24" s="204" t="inlineStr">
        <is>
          <t>Marginal tax rate =</t>
        </is>
      </c>
      <c r="B24" s="222" t="n">
        <v>0.25</v>
      </c>
      <c r="C24" s="218" t="n"/>
      <c r="E24" s="205" t="n"/>
      <c r="I24" s="457" t="inlineStr">
        <is>
          <t>Company</t>
        </is>
      </c>
      <c r="J24" s="471" t="inlineStr">
        <is>
          <t>Average</t>
        </is>
      </c>
      <c r="K24" s="471" t="inlineStr">
        <is>
          <t>Average</t>
        </is>
      </c>
      <c r="L24" s="471" t="inlineStr">
        <is>
          <t>1st Quartile</t>
        </is>
      </c>
      <c r="M24" s="471" t="inlineStr">
        <is>
          <t>Median</t>
        </is>
      </c>
      <c r="N24" s="471" t="inlineStr">
        <is>
          <t>3rd Quartile</t>
        </is>
      </c>
    </row>
    <row r="25" ht="16" customFormat="1" customHeight="1" s="204">
      <c r="A25" s="205" t="inlineStr">
        <is>
          <t>The value drivers below:</t>
        </is>
      </c>
      <c r="B25" s="628" t="n"/>
      <c r="C25" s="218" t="n"/>
      <c r="E25" s="204" t="inlineStr">
        <is>
          <t>Revenue growth in the most recent year =</t>
        </is>
      </c>
      <c r="I25" s="394">
        <f>IF(C11&gt;0,(B11/C11)^(1/D11)-1, "NA")</f>
        <v/>
      </c>
      <c r="J25" s="394">
        <f>VLOOKUP(B8,'Industry Averages(US)'!A2:S95,3)</f>
        <v/>
      </c>
      <c r="K25" s="393">
        <f>VLOOKUP(B9,'Industry Average Beta (Global)'!A2:N95,3)</f>
        <v/>
      </c>
      <c r="L25" s="392">
        <f>VLOOKUP($B$9,'Input Stat Distributioons'!$A$3:$R$96,3,FALSE)</f>
        <v/>
      </c>
      <c r="M25" s="392">
        <f>VLOOKUP($B$9,'Input Stat Distributioons'!$A$3:$R$96,4,FALSE)</f>
        <v/>
      </c>
      <c r="N25" s="392">
        <f>VLOOKUP($B$9,'Input Stat Distributioons'!$A$3:$R$96,5,FALSE)</f>
        <v/>
      </c>
    </row>
    <row r="26" ht="16" customFormat="1" customHeight="1" s="204">
      <c r="A26" s="226" t="inlineStr">
        <is>
          <t xml:space="preserve">Revenue growth rate for next year </t>
        </is>
      </c>
      <c r="B26" s="227" t="n">
        <v>0.12</v>
      </c>
      <c r="C26" s="218" t="inlineStr">
        <is>
          <t>Growth Lever - Next year</t>
        </is>
      </c>
      <c r="E26" s="204" t="inlineStr">
        <is>
          <t>Pre-tax operating margin in the most recent year =</t>
        </is>
      </c>
      <c r="I26" s="394">
        <f>'Valuation output'!B4</f>
        <v/>
      </c>
      <c r="J26" s="393">
        <f>VLOOKUP(B8,'Industry Averages(US)'!A2:AA95,4)</f>
        <v/>
      </c>
      <c r="K26" s="393">
        <f>VLOOKUP(B9,'Industry Average Beta (Global)'!A2:N95,4)</f>
        <v/>
      </c>
      <c r="L26" s="393">
        <f>VLOOKUP($B$9,'Input Stat Distributioons'!$A$3:$R$96,6,FALSE)</f>
        <v/>
      </c>
      <c r="M26" s="393">
        <f>VLOOKUP($B$9,'Input Stat Distributioons'!$A$3:$R$96,7,FALSE)</f>
        <v/>
      </c>
      <c r="N26" s="393">
        <f>VLOOKUP($B$9,'Input Stat Distributioons'!$A$3:$R$96,8,FALSE)</f>
        <v/>
      </c>
    </row>
    <row r="27" ht="16" customFormat="1" customHeight="1" s="204">
      <c r="A27" s="226" t="inlineStr">
        <is>
          <t>Operating Margin for next year</t>
        </is>
      </c>
      <c r="B27" s="227" t="n">
        <v>0.45</v>
      </c>
      <c r="C27" s="218" t="inlineStr">
        <is>
          <t>Profitability Lever - Next year</t>
        </is>
      </c>
      <c r="E27" s="204" t="inlineStr">
        <is>
          <t>Sales to capital ratio in most recent year =</t>
        </is>
      </c>
      <c r="I27" s="395">
        <f>B11/'Valuation output'!B39</f>
        <v/>
      </c>
      <c r="J27" s="395">
        <f>VLOOKUP(B8,'Industry Averages(US)'!A2:S95,14)</f>
        <v/>
      </c>
      <c r="K27" s="395">
        <f>VLOOKUP(B9,'Industry Average Beta (Global)'!A2:N95,14)</f>
        <v/>
      </c>
      <c r="L27" s="395">
        <f>VLOOKUP($B$9,'Input Stat Distributioons'!$A$3:$R$96,9,FALSE)</f>
        <v/>
      </c>
      <c r="M27" s="395">
        <f>VLOOKUP($B$9,'Input Stat Distributioons'!$A$3:$R$96,10,FALSE)</f>
        <v/>
      </c>
      <c r="N27" s="395">
        <f>VLOOKUP($B$9,'Input Stat Distributioons'!$A$3:$R$96,11,FALSE)</f>
        <v/>
      </c>
    </row>
    <row r="28" ht="16" customFormat="1" customHeight="1" s="204">
      <c r="A28" s="216" t="inlineStr">
        <is>
          <t>Compounded annual revenue growth rate - years 2-5 =</t>
        </is>
      </c>
      <c r="B28" s="228" t="n">
        <v>0.12</v>
      </c>
      <c r="C28" s="218" t="inlineStr">
        <is>
          <t>Growth Lever - Long term</t>
        </is>
      </c>
      <c r="E28" s="204" t="inlineStr">
        <is>
          <t>Marginal sales to capital ratio  =</t>
        </is>
      </c>
      <c r="I28" s="395">
        <f>IF(('Input sheet'!B11-'Input sheet'!C11)/(('Input sheet'!B14+'Input sheet'!B15-'Input sheet'!B18)-('Input sheet'!C14+'Input sheet'!C15-'Input sheet'!C18))&gt;0,('Input sheet'!B11-'Input sheet'!C11)/(('Input sheet'!B14+'Input sheet'!B15-'Input sheet'!B18)-('Input sheet'!C14+'Input sheet'!C15-'Input sheet'!C18)),"NA")</f>
        <v/>
      </c>
      <c r="J28" s="395" t="n"/>
      <c r="K28" s="395" t="n"/>
      <c r="L28" s="398" t="n"/>
      <c r="M28" s="398" t="n"/>
      <c r="N28" s="398" t="n"/>
    </row>
    <row r="29" ht="16" customFormat="1" customHeight="1" s="204">
      <c r="A29" s="216" t="inlineStr">
        <is>
          <t>Target pre-tax operating margin =</t>
        </is>
      </c>
      <c r="B29" s="228" t="n">
        <v>0.4</v>
      </c>
      <c r="C29" s="218" t="inlineStr">
        <is>
          <t>Profitability Lever - Long term</t>
        </is>
      </c>
      <c r="E29" s="204" t="inlineStr">
        <is>
          <t>Return on invested capital in most recent year=</t>
        </is>
      </c>
      <c r="I29" s="393">
        <f>'Valuation output'!B7/'Valuation output'!B39</f>
        <v/>
      </c>
      <c r="J29" s="393">
        <f>VLOOKUP(B8,'Industry Averages(US)'!A2:S95,5)</f>
        <v/>
      </c>
      <c r="K29" s="393">
        <f>VLOOKUP(B9,'Industry Average Beta (Global)'!A2:N95,5)</f>
        <v/>
      </c>
    </row>
    <row r="30" ht="16" customFormat="1" customHeight="1" s="204">
      <c r="A30" s="216" t="inlineStr">
        <is>
          <t>Year of convergence for margin</t>
        </is>
      </c>
      <c r="B30" s="230" t="n">
        <v>5</v>
      </c>
      <c r="C30" s="218" t="inlineStr">
        <is>
          <t>Speed of convergence level</t>
        </is>
      </c>
      <c r="E30" s="204" t="inlineStr">
        <is>
          <t>Standard deviation in stock prices =</t>
        </is>
      </c>
      <c r="I30" s="229" t="n"/>
      <c r="J30" s="393">
        <f>VLOOKUP(B8,'Industry Averages(US)'!A2:S95,10)</f>
        <v/>
      </c>
      <c r="K30" s="393">
        <f>VLOOKUP(B8,'Industry Average Beta (Global)'!A2:Z95,10)</f>
        <v/>
      </c>
    </row>
    <row r="31" ht="16" customFormat="1" customHeight="1" s="204">
      <c r="A31" s="216" t="inlineStr">
        <is>
          <t>Sales to capital ratio  (for years 1-5)</t>
        </is>
      </c>
      <c r="B31" s="230" t="n">
        <v>1.5</v>
      </c>
      <c r="C31" s="218" t="inlineStr">
        <is>
          <t>Efficency of Growth Lever (first 5 years)</t>
        </is>
      </c>
      <c r="E31" s="204" t="inlineStr">
        <is>
          <t>Cost of capital =</t>
        </is>
      </c>
      <c r="J31" s="393">
        <f>VLOOKUP(B8,'Industry Averages(US)'!A2:S95,13)</f>
        <v/>
      </c>
      <c r="K31" s="393">
        <f>VLOOKUP(B8,'Industry Average Beta (Global)'!A2:Z95,13)</f>
        <v/>
      </c>
      <c r="L31" s="393">
        <f>VLOOKUP($B$9,'Input Stat Distributioons'!$A$3:$R$96,12,FALSE)</f>
        <v/>
      </c>
      <c r="M31" s="393">
        <f>VLOOKUP($B$9,'Input Stat Distributioons'!$A$3:$R$96,13,FALSE)</f>
        <v/>
      </c>
      <c r="N31" s="393">
        <f>VLOOKUP($B$9,'Input Stat Distributioons'!$A$3:$R$96,14,FALSE)</f>
        <v/>
      </c>
    </row>
    <row r="32" ht="17" customFormat="1" customHeight="1" s="204" thickBot="1">
      <c r="A32" s="216" t="inlineStr">
        <is>
          <t>Sales to capital ratio (for years 6-10)</t>
        </is>
      </c>
      <c r="B32" s="230" t="n">
        <v>1.5</v>
      </c>
      <c r="C32" s="218" t="inlineStr">
        <is>
          <t>Efficency of Growth Lever (years 6-10)</t>
        </is>
      </c>
    </row>
    <row r="33" ht="16" customFormat="1" customHeight="1" s="204">
      <c r="A33" s="205" t="inlineStr">
        <is>
          <t xml:space="preserve">Market numbers </t>
        </is>
      </c>
      <c r="B33" s="233" t="n"/>
      <c r="C33" s="218" t="n"/>
      <c r="E33" s="629" t="inlineStr">
        <is>
          <t>Valuation Output Feedback (for you to use to fine tune your inputs, if you want)</t>
        </is>
      </c>
      <c r="F33" s="630" t="n"/>
      <c r="G33" s="630" t="n"/>
      <c r="H33" s="630" t="n"/>
      <c r="I33" s="630" t="n"/>
      <c r="J33" s="631" t="n"/>
    </row>
    <row r="34" ht="16" customFormat="1" customHeight="1" s="204">
      <c r="A34" s="216" t="inlineStr">
        <is>
          <t>Riskfree rate</t>
        </is>
      </c>
      <c r="B34" s="228" t="n">
        <v>0.0411</v>
      </c>
      <c r="C34" s="218" t="n"/>
      <c r="E34" s="224" t="inlineStr">
        <is>
          <t>Revenues in year 10, based on your revenue growth =</t>
        </is>
      </c>
      <c r="J34" s="632">
        <f>'Valuation output'!M3</f>
        <v/>
      </c>
    </row>
    <row r="35" ht="25" customFormat="1" customHeight="1" s="204">
      <c r="A35" s="386" t="inlineStr">
        <is>
          <t>Initial cost of capital =</t>
        </is>
      </c>
      <c r="B35" s="387">
        <f>'Cost of capital worksheet'!B13</f>
        <v/>
      </c>
      <c r="C35" s="633" t="inlineStr">
        <is>
          <t>Do not input. Go to cost of capital sheet.</t>
        </is>
      </c>
      <c r="D35" s="634" t="n"/>
      <c r="E35" s="224" t="inlineStr">
        <is>
          <t>Pre-tax Operating Income in year 10, based on your operating margin =</t>
        </is>
      </c>
      <c r="J35" s="632">
        <f>'Valuation output'!M5</f>
        <v/>
      </c>
    </row>
    <row r="36" ht="16" customFormat="1" customHeight="1" s="204">
      <c r="A36" s="205" t="inlineStr">
        <is>
          <t>Other inputs</t>
        </is>
      </c>
      <c r="B36" s="235" t="n"/>
      <c r="C36" s="235" t="n"/>
      <c r="D36" s="218" t="n"/>
      <c r="E36" s="224" t="inlineStr">
        <is>
          <t>Return on invested capital in year 10, based on your sales/capital ratio =</t>
        </is>
      </c>
      <c r="J36" s="225">
        <f>'Valuation output'!L40</f>
        <v/>
      </c>
    </row>
    <row r="37" ht="17" customFormat="1" customHeight="1" s="204" thickBot="1">
      <c r="A37" s="204" t="inlineStr">
        <is>
          <t>Do you have employee options outstanding?</t>
        </is>
      </c>
      <c r="B37" s="623" t="inlineStr">
        <is>
          <t>No</t>
        </is>
      </c>
      <c r="C37" s="202" t="n"/>
      <c r="D37" s="218" t="n"/>
      <c r="E37" s="366" t="inlineStr">
        <is>
          <t>Check the Diagnostics worksheet for more details.</t>
        </is>
      </c>
      <c r="F37" s="231" t="n"/>
      <c r="G37" s="231" t="n"/>
      <c r="H37" s="231" t="n"/>
      <c r="I37" s="231" t="n"/>
      <c r="J37" s="234" t="n"/>
    </row>
    <row r="38" ht="16" customFormat="1" customHeight="1" s="204">
      <c r="A38" s="204" t="inlineStr">
        <is>
          <t>Number of options outstanding =</t>
        </is>
      </c>
      <c r="B38" s="230" t="n">
        <v>7.72</v>
      </c>
      <c r="C38" s="236" t="n"/>
      <c r="D38" s="218" t="n"/>
    </row>
    <row r="39" ht="16" customFormat="1" customHeight="1" s="239">
      <c r="A39" s="204" t="inlineStr">
        <is>
          <t>Average strike price =</t>
        </is>
      </c>
      <c r="B39" s="635" t="n">
        <v>1.29</v>
      </c>
      <c r="C39" s="636" t="n"/>
      <c r="D39" s="218" t="n"/>
      <c r="E39" s="204" t="n"/>
      <c r="F39" s="204" t="n"/>
      <c r="G39" s="204" t="n"/>
      <c r="H39" s="204" t="n"/>
      <c r="I39" s="204" t="n"/>
      <c r="J39" s="204" t="n"/>
      <c r="K39" s="204" t="n"/>
      <c r="L39" s="204" t="n"/>
      <c r="M39" s="204" t="n"/>
      <c r="N39" s="204" t="n"/>
    </row>
    <row r="40" ht="16" customFormat="1" customHeight="1" s="204">
      <c r="A40" s="204" t="inlineStr">
        <is>
          <t>Average maturity =</t>
        </is>
      </c>
      <c r="B40" s="230" t="n">
        <v>7</v>
      </c>
      <c r="C40" s="236" t="n"/>
      <c r="D40" s="218" t="n"/>
    </row>
    <row r="41" ht="16" customFormat="1" customHeight="1" s="204">
      <c r="A41" s="204" t="inlineStr">
        <is>
          <t>Standard deviation on stock price =</t>
        </is>
      </c>
      <c r="B41" s="228" t="n">
        <v>0.45</v>
      </c>
      <c r="C41" s="218" t="n"/>
      <c r="E41" s="239" t="n"/>
      <c r="F41" s="239" t="n"/>
      <c r="G41" s="239" t="n"/>
    </row>
    <row r="42" ht="16" customFormat="1" customHeight="1" s="239">
      <c r="A42" s="204" t="n"/>
      <c r="B42" s="240" t="n"/>
      <c r="C42" s="235" t="n"/>
      <c r="D42" s="218" t="n"/>
      <c r="E42" s="204" t="n"/>
      <c r="F42" s="204" t="n"/>
      <c r="G42" s="204" t="n"/>
      <c r="H42" s="204" t="n"/>
      <c r="I42" s="204" t="n"/>
      <c r="J42" s="204" t="n"/>
      <c r="K42" s="204" t="n"/>
      <c r="L42" s="204" t="n"/>
      <c r="M42" s="204" t="n"/>
      <c r="N42" s="204" t="n"/>
    </row>
    <row r="43" ht="16" customFormat="1" customHeight="1" s="204">
      <c r="A43" s="460" t="inlineStr">
        <is>
          <t xml:space="preserve">Default assumptions. </t>
        </is>
      </c>
      <c r="C43" s="241" t="n"/>
      <c r="D43" s="218" t="n"/>
      <c r="N43" s="239" t="n"/>
    </row>
    <row r="44" ht="16" customFormat="1" customHeight="1" s="204">
      <c r="A44" s="239" t="inlineStr">
        <is>
          <t>In stable growth, I will assume that your firm will have a cost of capital similar to that of typical mature companies (riskfree rate + 4.5%)</t>
        </is>
      </c>
      <c r="B44" s="239" t="n"/>
      <c r="C44" s="242" t="n"/>
      <c r="D44" s="218" t="n"/>
      <c r="E44" s="239" t="n"/>
      <c r="F44" s="239" t="n"/>
      <c r="G44" s="239" t="n"/>
      <c r="H44" s="239" t="n"/>
      <c r="I44" s="239" t="n"/>
      <c r="J44" s="239" t="n"/>
      <c r="K44" s="239" t="n"/>
      <c r="L44" s="239" t="n"/>
      <c r="M44" s="239" t="n"/>
    </row>
    <row r="45" ht="16" customFormat="1" customHeight="1" s="204">
      <c r="A45" s="204" t="inlineStr">
        <is>
          <t>Do you want to override this assumption =</t>
        </is>
      </c>
      <c r="B45" s="637" t="inlineStr">
        <is>
          <t>No</t>
        </is>
      </c>
      <c r="C45" s="218" t="inlineStr">
        <is>
          <t>Mature companies generally see their risk levels approach the average</t>
        </is>
      </c>
    </row>
    <row r="46" ht="16" customFormat="1" customHeight="1" s="204">
      <c r="A46" s="204" t="inlineStr">
        <is>
          <t>If yes, enter the cost of capital after year 10 =</t>
        </is>
      </c>
      <c r="B46" s="228" t="n">
        <v>0.08</v>
      </c>
      <c r="C46" s="218" t="inlineStr">
        <is>
          <t>Though some sectors, even in stable growth, may have higher risk. If you change your risk free rate after year 10 (see cell B57 &amp; 58), you should incorporate the change into your stable cost of capital estimate.</t>
        </is>
      </c>
      <c r="N46" s="239" t="n"/>
    </row>
    <row r="47" ht="16" customFormat="1" customHeight="1" s="204">
      <c r="A47" s="239" t="inlineStr">
        <is>
          <t>I will assume that your firm will earn a return on capital equal to its cost of capital after year 10. I am assuming that whatever competitive advantages you have today will fade over time.</t>
        </is>
      </c>
      <c r="B47" s="239" t="n"/>
      <c r="C47" s="218" t="n"/>
      <c r="D47" s="239" t="n"/>
      <c r="H47" s="239" t="n"/>
      <c r="I47" s="239" t="n"/>
      <c r="J47" s="239" t="n"/>
      <c r="K47" s="239" t="n"/>
      <c r="L47" s="239" t="n"/>
      <c r="M47" s="239" t="n"/>
    </row>
    <row r="48" ht="16" customFormat="1" customHeight="1" s="204">
      <c r="A48" s="204" t="inlineStr">
        <is>
          <t>Do you want to override this assumption =</t>
        </is>
      </c>
      <c r="B48" s="637" t="inlineStr">
        <is>
          <t>Yes</t>
        </is>
      </c>
      <c r="C48" s="218" t="inlineStr">
        <is>
          <t>Mature companies find it difficult to generate returns that exceed the cost of capital</t>
        </is>
      </c>
    </row>
    <row r="49" ht="16" customFormat="1" customHeight="1" s="204">
      <c r="A49" s="204" t="inlineStr">
        <is>
          <t>If yes, enter the return on capital you expect after year 10</t>
        </is>
      </c>
      <c r="B49" s="243" t="n">
        <v>0.15</v>
      </c>
      <c r="C49" s="218" t="inlineStr">
        <is>
          <t>But there are significant exceptions among companies with long-lasting competitive advantages.</t>
        </is>
      </c>
    </row>
    <row r="50" ht="16" customFormat="1" customHeight="1" s="204">
      <c r="A50" s="239" t="inlineStr">
        <is>
          <t>I will assume that your firm has no chance of failure over the foreseeable future.</t>
        </is>
      </c>
      <c r="C50" s="218" t="n"/>
    </row>
    <row r="51" ht="16" customFormat="1" customHeight="1" s="204">
      <c r="A51" s="204" t="inlineStr">
        <is>
          <t>Do you want to override this assumption =</t>
        </is>
      </c>
      <c r="B51" s="637" t="inlineStr">
        <is>
          <t>No</t>
        </is>
      </c>
      <c r="C51" s="218" t="inlineStr">
        <is>
          <t>Many young, growth companies fail, especially if they have trouble raising cash. Many distressed companies fail, because they have trouble making debt payments.</t>
        </is>
      </c>
    </row>
    <row r="52" ht="16" customFormat="1" customHeight="1" s="204">
      <c r="A52" s="204" t="inlineStr">
        <is>
          <t>If yes, enter the probability of failure =</t>
        </is>
      </c>
      <c r="B52" s="243" t="n">
        <v>0.12</v>
      </c>
      <c r="C52" s="218" t="inlineStr">
        <is>
          <t>Tough to estimate but a key input. Use the failure rate worksheet, if necessary.</t>
        </is>
      </c>
    </row>
    <row r="53" ht="16" customFormat="1" customHeight="1" s="204">
      <c r="A53" s="204" t="inlineStr">
        <is>
          <t>What do you want to tie your proceeds in failure to?</t>
        </is>
      </c>
      <c r="B53" s="243" t="inlineStr">
        <is>
          <t>V</t>
        </is>
      </c>
      <c r="C53" s="218" t="inlineStr">
        <is>
          <t>B: Book value of capital, V= Estimated fair value for the company</t>
        </is>
      </c>
    </row>
    <row r="54" ht="16" customFormat="1" customHeight="1" s="204">
      <c r="A54" s="204" t="inlineStr">
        <is>
          <t>Enter the distress proceeds as percentage of book or fair value</t>
        </is>
      </c>
      <c r="B54" s="243" t="n">
        <v>0.5</v>
      </c>
      <c r="C54" s="218" t="inlineStr">
        <is>
          <t>This can be zero, if the assets will be worth nothing if the firm fails.</t>
        </is>
      </c>
    </row>
    <row r="55" ht="16" customFormat="1" customHeight="1" s="204">
      <c r="A55" s="204" t="inlineStr">
        <is>
          <t>I assume that reinvestment in a year translates into growth in the next year, i.e., there is a one year lag between reinvesting and generating growth from that reinvestment.</t>
        </is>
      </c>
      <c r="B55" s="399" t="n"/>
      <c r="C55" s="218" t="n"/>
    </row>
    <row r="56" ht="16" customFormat="1" customHeight="1" s="204">
      <c r="A56" s="204" t="inlineStr">
        <is>
          <t>Do you want override this assumption =</t>
        </is>
      </c>
      <c r="B56" s="637" t="inlineStr">
        <is>
          <t>No</t>
        </is>
      </c>
      <c r="C56" s="218" t="n"/>
    </row>
    <row r="57" ht="16" customFormat="1" customHeight="1" s="204">
      <c r="A57" s="204" t="inlineStr">
        <is>
          <t>If yes, enter a different lag (0 = no lag to 3 = lag of 3 years)</t>
        </is>
      </c>
      <c r="B57" s="400" t="n">
        <v>1</v>
      </c>
      <c r="C57" s="218" t="n"/>
    </row>
    <row r="58" ht="16" customFormat="1" customHeight="1" s="204">
      <c r="A58" s="239" t="inlineStr">
        <is>
          <t>I will assume that your effective tax rate will adjust to your marginal tax rate by your terminal year. If you override this assumption, I will leave the tax rate at your effective tax rate.</t>
        </is>
      </c>
      <c r="B58" s="244" t="n"/>
      <c r="C58" s="218" t="n"/>
    </row>
    <row r="59" ht="16" customFormat="1" customHeight="1" s="204">
      <c r="A59" s="204" t="inlineStr">
        <is>
          <t>Do you want to override this assumption =</t>
        </is>
      </c>
      <c r="B59" s="623" t="inlineStr">
        <is>
          <t>No</t>
        </is>
      </c>
      <c r="C59" s="218" t="n"/>
    </row>
    <row r="60" ht="16" customFormat="1" customHeight="1" s="204">
      <c r="A60" s="239" t="inlineStr">
        <is>
          <t>I will assume that you have no losses carried forward from prior years ( NOL) coming into the valuation. If you have a money losing company, you may want to override tis.</t>
        </is>
      </c>
      <c r="C60" s="218" t="n"/>
    </row>
    <row r="61" ht="16" customFormat="1" customHeight="1" s="204">
      <c r="A61" s="204" t="inlineStr">
        <is>
          <t>Do you want to override this assumption =</t>
        </is>
      </c>
      <c r="B61" s="637" t="inlineStr">
        <is>
          <t>No</t>
        </is>
      </c>
      <c r="C61" s="218" t="inlineStr">
        <is>
          <t>Check the financial statements.</t>
        </is>
      </c>
    </row>
    <row r="62" ht="16" customFormat="1" customHeight="1" s="204">
      <c r="A62" s="204" t="inlineStr">
        <is>
          <t>If yes, enter the NOL that you are carrying over into year 1</t>
        </is>
      </c>
      <c r="B62" s="635">
        <f>474.8+256.6</f>
        <v/>
      </c>
      <c r="C62" s="218" t="inlineStr">
        <is>
          <t>An NOL will shield your income from taxes, even after you start making money.</t>
        </is>
      </c>
    </row>
    <row r="63" ht="16" customFormat="1" customHeight="1" s="204">
      <c r="A63" s="204" t="inlineStr">
        <is>
          <t>I will asssume that today's risk free rate will prevail in perpetuity. If you override this assumption, I will change the riskfree rate after year 10.</t>
        </is>
      </c>
      <c r="B63" s="638" t="n"/>
      <c r="C63" s="218" t="n"/>
    </row>
    <row r="64" ht="16" customFormat="1" customHeight="1" s="239">
      <c r="A64" s="204" t="inlineStr">
        <is>
          <t>Do you want to override this assumption =</t>
        </is>
      </c>
      <c r="B64" s="637" t="inlineStr">
        <is>
          <t>No</t>
        </is>
      </c>
      <c r="C64" s="218" t="inlineStr">
        <is>
          <t>If yes, you will be asked to enter a normal risk free rate and your growth in perpetuity will be adjusted accordingly.</t>
        </is>
      </c>
      <c r="D64" s="204" t="n"/>
      <c r="E64" s="204" t="n"/>
      <c r="F64" s="204" t="n"/>
      <c r="G64" s="204" t="n"/>
      <c r="H64" s="204" t="n"/>
      <c r="I64" s="204" t="n"/>
      <c r="J64" s="204" t="n"/>
      <c r="K64" s="204" t="n"/>
      <c r="L64" s="204" t="n"/>
      <c r="M64" s="204" t="n"/>
      <c r="N64" s="204" t="n"/>
    </row>
    <row r="65" ht="16" customFormat="1" customHeight="1" s="204">
      <c r="A65" s="204" t="inlineStr">
        <is>
          <t>If yes, enter the riskfree rate after year 10</t>
        </is>
      </c>
      <c r="B65" s="246" t="n">
        <v>0.02</v>
      </c>
      <c r="C65" s="218" t="inlineStr">
        <is>
          <t>Enter your estimate of what the riskfree rate (in your currency of choice) will be after year 10</t>
        </is>
      </c>
    </row>
    <row r="66" ht="16" customFormat="1" customHeight="1" s="204">
      <c r="A66" s="204" t="inlineStr">
        <is>
          <t>I will assume that the growth rate in perpetuity will be equal to the risk free rate. This allows for both valuation consistency and prevents "impossible" growth rates.</t>
        </is>
      </c>
      <c r="B66" s="636" t="n"/>
      <c r="C66" s="218" t="n"/>
      <c r="E66" s="239" t="n"/>
      <c r="F66" s="239" t="n"/>
      <c r="G66" s="239" t="n"/>
      <c r="H66" s="239" t="n"/>
      <c r="I66" s="239" t="n"/>
      <c r="J66" s="239" t="n"/>
      <c r="K66" s="239" t="n"/>
      <c r="L66" s="239" t="n"/>
      <c r="M66" s="239" t="n"/>
      <c r="N66" s="239" t="n"/>
    </row>
    <row r="67" ht="16" customFormat="1" customHeight="1" s="204">
      <c r="A67" s="204" t="inlineStr">
        <is>
          <t>Do you want to override this assumption =</t>
        </is>
      </c>
      <c r="B67" s="637" t="inlineStr">
        <is>
          <t>No</t>
        </is>
      </c>
      <c r="C67" s="218" t="inlineStr">
        <is>
          <t>This is an option to let you use a negative growth rate in perpetuity or to even liquidate the firm.</t>
        </is>
      </c>
    </row>
    <row r="68" ht="16" customFormat="1" customHeight="1" s="204">
      <c r="A68" s="204" t="inlineStr">
        <is>
          <t>If yes, enter the growth rate in perpetuity</t>
        </is>
      </c>
      <c r="B68" s="246" t="n">
        <v>-0.05</v>
      </c>
      <c r="C68" s="218" t="inlineStr">
        <is>
          <t>This can be negative, if you feel the company will decline (and disappear) after growth is done. If you let it exceed the risk free rate, you are on your own in uncharted territory.</t>
        </is>
      </c>
    </row>
    <row r="69" ht="16" customFormat="1" customHeight="1" s="204">
      <c r="A69" s="239" t="inlineStr">
        <is>
          <t>I have assumed that none of the cash is trapped (in foreign countries) and that there is no additional tax liability coming due and that cash is a neutral asset.</t>
        </is>
      </c>
      <c r="B69" s="239" t="n"/>
      <c r="C69" s="239" t="n"/>
      <c r="D69" s="239" t="n"/>
    </row>
    <row r="70" ht="16" customFormat="1" customHeight="1" s="204">
      <c r="A70" s="204" t="inlineStr">
        <is>
          <t>Do you want to override this assumption</t>
        </is>
      </c>
      <c r="B70" s="637" t="inlineStr">
        <is>
          <t>No</t>
        </is>
      </c>
    </row>
    <row r="71" ht="16" customFormat="1" customHeight="1" s="204">
      <c r="A71" s="204" t="inlineStr">
        <is>
          <t>If yes, enter trapped cash (if taxes) or entire balance (if mistrust)</t>
        </is>
      </c>
      <c r="B71" s="639" t="n">
        <v>140000</v>
      </c>
      <c r="C71" s="218" t="inlineStr">
        <is>
          <t>Cash that is trapped in foreign markets (and subject to additoinal tax) or cash that is being discounted by the market (because of management mistrust)</t>
        </is>
      </c>
    </row>
    <row r="72" ht="16" customFormat="1" customHeight="1" s="204">
      <c r="A72" s="216" t="inlineStr">
        <is>
          <t>&amp; Average tax rate of the foreign markets where the cash is trapped</t>
        </is>
      </c>
      <c r="B72" s="243" t="n">
        <v>0.15</v>
      </c>
      <c r="C72" s="218" t="inlineStr">
        <is>
          <t>Additional tax rate due on trapped cash or discount being applied to cash balance because of mistrust.</t>
        </is>
      </c>
    </row>
    <row r="73" ht="16" customHeight="1">
      <c r="A73" s="77" t="n"/>
      <c r="E73" s="204" t="n"/>
      <c r="F73" s="204" t="n"/>
      <c r="G73" s="204" t="n"/>
      <c r="H73" s="204" t="n"/>
      <c r="I73" s="204" t="n"/>
      <c r="J73" s="204" t="n"/>
      <c r="K73" s="204" t="n"/>
      <c r="L73" s="204" t="n"/>
      <c r="M73" s="204" t="n"/>
      <c r="N73" s="204" t="n"/>
    </row>
    <row r="74" ht="16" customHeight="1">
      <c r="E74" s="204" t="n"/>
      <c r="F74" s="204" t="n"/>
      <c r="G74" s="204" t="n"/>
      <c r="H74" s="204" t="n"/>
      <c r="I74" s="204" t="n"/>
      <c r="J74" s="204" t="n"/>
      <c r="K74" s="204" t="n"/>
      <c r="L74" s="204" t="n"/>
      <c r="M74" s="204" t="n"/>
      <c r="N74" s="204" t="n"/>
    </row>
  </sheetData>
  <mergeCells count="6">
    <mergeCell ref="A43:B43"/>
    <mergeCell ref="A5:J5"/>
    <mergeCell ref="E33:J33"/>
    <mergeCell ref="C35:D35"/>
    <mergeCell ref="L23:N23"/>
    <mergeCell ref="E21:N21"/>
  </mergeCells>
  <dataValidations count="2">
    <dataValidation sqref="B23" showErrorMessage="1" showInput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5" showErrorMessage="1" showInput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40"/>
  <sheetViews>
    <sheetView zoomScale="125" zoomScaleNormal="125" workbookViewId="0">
      <selection activeCell="B33" sqref="B33"/>
    </sheetView>
  </sheetViews>
  <sheetFormatPr baseColWidth="10" defaultRowHeight="16"/>
  <cols>
    <col width="23" bestFit="1" customWidth="1" style="31" min="1" max="1"/>
    <col width="16.6640625" customWidth="1" style="31" min="2" max="2"/>
    <col width="15.83203125" bestFit="1" customWidth="1" style="34" min="3" max="13"/>
    <col width="12.6640625" bestFit="1" customWidth="1" min="14" max="14"/>
  </cols>
  <sheetData>
    <row r="1">
      <c r="A1" s="28" t="n"/>
      <c r="B1" s="29" t="inlineStr">
        <is>
          <t>Base year</t>
        </is>
      </c>
      <c r="C1" s="29" t="n">
        <v>1</v>
      </c>
      <c r="D1" s="29" t="n">
        <v>2</v>
      </c>
      <c r="E1" s="29" t="n">
        <v>3</v>
      </c>
      <c r="F1" s="29" t="n">
        <v>4</v>
      </c>
      <c r="G1" s="29" t="n">
        <v>5</v>
      </c>
      <c r="H1" s="29" t="n">
        <v>6</v>
      </c>
      <c r="I1" s="29" t="n">
        <v>7</v>
      </c>
      <c r="J1" s="29" t="n">
        <v>8</v>
      </c>
      <c r="K1" s="29" t="n">
        <v>9</v>
      </c>
      <c r="L1" s="29" t="n">
        <v>10</v>
      </c>
      <c r="M1" s="33" t="inlineStr">
        <is>
          <t>Terminal year</t>
        </is>
      </c>
    </row>
    <row r="2">
      <c r="A2" s="31" t="inlineStr">
        <is>
          <t>Revenue growth rate</t>
        </is>
      </c>
      <c r="B2" s="40" t="n"/>
      <c r="C2" s="41">
        <f>'Input sheet'!B26</f>
        <v/>
      </c>
      <c r="D2" s="41">
        <f>'Input sheet'!B28</f>
        <v/>
      </c>
      <c r="E2" s="41">
        <f>D2</f>
        <v/>
      </c>
      <c r="F2" s="41">
        <f>E2</f>
        <v/>
      </c>
      <c r="G2" s="41">
        <f>F2</f>
        <v/>
      </c>
      <c r="H2" s="41">
        <f>G2-((G2-$M$2)/5)</f>
        <v/>
      </c>
      <c r="I2" s="41">
        <f>G2-((G2-$M$2)/5)*2</f>
        <v/>
      </c>
      <c r="J2" s="41">
        <f>G2-((G2-$M$2)/5)*3</f>
        <v/>
      </c>
      <c r="K2" s="41">
        <f>G2-((G2-$M$2)/5)*4</f>
        <v/>
      </c>
      <c r="L2" s="41">
        <f>G2-((G2-$M$2)/5)*5</f>
        <v/>
      </c>
      <c r="M2" s="42">
        <f>IF('Input sheet'!B67="Yes",'Input sheet'!B68,IF('Input sheet'!B64="Yes",'Input sheet'!B65,'Input sheet'!B34))</f>
        <v/>
      </c>
    </row>
    <row r="3" ht="15" customHeight="1">
      <c r="A3" s="31" t="inlineStr">
        <is>
          <t>Revenues</t>
        </is>
      </c>
      <c r="B3" s="640">
        <f>'Input sheet'!B11</f>
        <v/>
      </c>
      <c r="C3" s="641">
        <f>B3*(1+C2)</f>
        <v/>
      </c>
      <c r="D3" s="641">
        <f>C3*(1+D2)</f>
        <v/>
      </c>
      <c r="E3" s="641">
        <f>D3*(1+E2)</f>
        <v/>
      </c>
      <c r="F3" s="641">
        <f>E3*(1+F2)</f>
        <v/>
      </c>
      <c r="G3" s="641">
        <f>F3*(1+G2)</f>
        <v/>
      </c>
      <c r="H3" s="641">
        <f>G3*(1+H2)</f>
        <v/>
      </c>
      <c r="I3" s="641">
        <f>H3*(1+I2)</f>
        <v/>
      </c>
      <c r="J3" s="641">
        <f>I3*(1+J2)</f>
        <v/>
      </c>
      <c r="K3" s="641">
        <f>J3*(1+K2)</f>
        <v/>
      </c>
      <c r="L3" s="641">
        <f>K3*(1+L2)</f>
        <v/>
      </c>
      <c r="M3" s="642">
        <f>L3*(1+M2)</f>
        <v/>
      </c>
    </row>
    <row r="4" ht="15" customHeight="1">
      <c r="A4" s="31" t="inlineStr">
        <is>
          <t>EBIT (Operating) margin</t>
        </is>
      </c>
      <c r="B4" s="45">
        <f>B5/B3</f>
        <v/>
      </c>
      <c r="C4" s="41">
        <f>'Input sheet'!B27</f>
        <v/>
      </c>
      <c r="D4" s="41">
        <f>IF(D1&gt;'Input sheet'!$B$30,'Input sheet'!$B$29,'Input sheet'!$B$29-(('Input sheet'!$B$29-$C$4)/'Input sheet'!$B$30)*('Input sheet'!$B$30-D1))</f>
        <v/>
      </c>
      <c r="E4" s="41">
        <f>IF(E1&gt;'Input sheet'!$B$30,'Input sheet'!$B$29,'Input sheet'!$B$29-(('Input sheet'!$B$29-$C$4)/'Input sheet'!$B$30)*('Input sheet'!$B$30-E1))</f>
        <v/>
      </c>
      <c r="F4" s="41">
        <f>IF(F1&gt;'Input sheet'!$B$30,'Input sheet'!$B$29,'Input sheet'!$B$29-(('Input sheet'!$B$29-$C$4)/'Input sheet'!$B$30)*('Input sheet'!$B$30-F1))</f>
        <v/>
      </c>
      <c r="G4" s="41">
        <f>IF(G1&gt;'Input sheet'!$B$30,'Input sheet'!$B$29,'Input sheet'!$B$29-(('Input sheet'!$B$29-$C$4)/'Input sheet'!$B$30)*('Input sheet'!$B$30-G1))</f>
        <v/>
      </c>
      <c r="H4" s="41">
        <f>IF(H1&gt;'Input sheet'!$B$30,'Input sheet'!$B$29,'Input sheet'!$B$29-(('Input sheet'!$B$29-$C$4)/'Input sheet'!$B$30)*('Input sheet'!$B$30-H1))</f>
        <v/>
      </c>
      <c r="I4" s="41">
        <f>IF(I1&gt;'Input sheet'!$B$30,'Input sheet'!$B$29,'Input sheet'!$B$29-(('Input sheet'!$B$29-$C$4)/'Input sheet'!$B$30)*('Input sheet'!$B$30-I1))</f>
        <v/>
      </c>
      <c r="J4" s="41">
        <f>IF(J1&gt;'Input sheet'!$B$30,'Input sheet'!$B$29,'Input sheet'!$B$29-(('Input sheet'!$B$29-$C$4)/'Input sheet'!$B$30)*('Input sheet'!$B$30-J1))</f>
        <v/>
      </c>
      <c r="K4" s="41">
        <f>IF(K1&gt;'Input sheet'!$B$30,'Input sheet'!$B$29,'Input sheet'!$B$29-(('Input sheet'!$B$29-$C$4)/'Input sheet'!$B$30)*('Input sheet'!$B$30-K1))</f>
        <v/>
      </c>
      <c r="L4" s="41">
        <f>IF(L1&gt;'Input sheet'!$B$30,'Input sheet'!$B$29,'Input sheet'!$B$29-(('Input sheet'!$B$29-$C$4)/'Input sheet'!$B$30)*('Input sheet'!$B$30-L1))</f>
        <v/>
      </c>
      <c r="M4" s="42">
        <f>L4</f>
        <v/>
      </c>
    </row>
    <row r="5" ht="15" customHeight="1">
      <c r="A5" s="31" t="inlineStr">
        <is>
          <t>EBIT (Operating income)</t>
        </is>
      </c>
      <c r="B5" s="640">
        <f>IF('Input sheet'!B17="Yes",IF('Input sheet'!B16="Yes",'Input sheet'!B12+'Operating lease converter'!F32+'R&amp; D converter'!D39,'Input sheet'!B12+'Operating lease converter'!F32),IF('Input sheet'!B16="Yes",'Input sheet'!B12+'R&amp; D converter'!D39,'Input sheet'!B12))</f>
        <v/>
      </c>
      <c r="C5" s="641">
        <f>C4*C3</f>
        <v/>
      </c>
      <c r="D5" s="641">
        <f>D4*D3</f>
        <v/>
      </c>
      <c r="E5" s="641">
        <f>E4*E3</f>
        <v/>
      </c>
      <c r="F5" s="641">
        <f>F4*F3</f>
        <v/>
      </c>
      <c r="G5" s="641">
        <f>G4*G3</f>
        <v/>
      </c>
      <c r="H5" s="641">
        <f>H4*H3</f>
        <v/>
      </c>
      <c r="I5" s="641">
        <f>I4*I3</f>
        <v/>
      </c>
      <c r="J5" s="641">
        <f>J4*J3</f>
        <v/>
      </c>
      <c r="K5" s="641">
        <f>K4*K3</f>
        <v/>
      </c>
      <c r="L5" s="641">
        <f>L4*L3</f>
        <v/>
      </c>
      <c r="M5" s="642">
        <f>M4*M3</f>
        <v/>
      </c>
      <c r="N5" s="643">
        <f>M5-B5</f>
        <v/>
      </c>
    </row>
    <row r="6" ht="15" customHeight="1">
      <c r="A6" s="31" t="inlineStr">
        <is>
          <t>Tax rate</t>
        </is>
      </c>
      <c r="B6" s="46">
        <f>'Input sheet'!B23</f>
        <v/>
      </c>
      <c r="C6" s="47">
        <f>B6</f>
        <v/>
      </c>
      <c r="D6" s="47">
        <f>C6</f>
        <v/>
      </c>
      <c r="E6" s="47">
        <f>D6</f>
        <v/>
      </c>
      <c r="F6" s="47">
        <f>E6</f>
        <v/>
      </c>
      <c r="G6" s="47">
        <f>F6</f>
        <v/>
      </c>
      <c r="H6" s="47">
        <f>G6+($M$6-$G$6)/5</f>
        <v/>
      </c>
      <c r="I6" s="47">
        <f>H6+($M$6-$G$6)/5</f>
        <v/>
      </c>
      <c r="J6" s="47">
        <f>I6+($M$6-$G$6)/5</f>
        <v/>
      </c>
      <c r="K6" s="47">
        <f>J6+($M$6-$G$6)/5</f>
        <v/>
      </c>
      <c r="L6" s="47">
        <f>K6+($M$6-$G$6)/5</f>
        <v/>
      </c>
      <c r="M6" s="47">
        <f>IF('Input sheet'!B59="Yes",'Input sheet'!B23,'Input sheet'!B24)</f>
        <v/>
      </c>
    </row>
    <row r="7" ht="15" customHeight="1">
      <c r="A7" s="31" t="inlineStr">
        <is>
          <t>EBIT(1-t)</t>
        </is>
      </c>
      <c r="B7" s="640">
        <f>IF(B5&gt;0,B5*(1-B6),B5)</f>
        <v/>
      </c>
      <c r="C7" s="641">
        <f>IF(C5&gt;0,IF(C5&lt;B10,C5,C5-(C5-B10)*C6),C5)</f>
        <v/>
      </c>
      <c r="D7" s="641">
        <f>IF(D5&gt;0,IF(D5&lt;C10,D5,D5-(D5-C10)*D6),D5)</f>
        <v/>
      </c>
      <c r="E7" s="641">
        <f>IF(E5&gt;0,IF(E5&lt;D10,E5,E5-(E5-D10)*E6),E5)</f>
        <v/>
      </c>
      <c r="F7" s="641">
        <f>IF(F5&gt;0,IF(F5&lt;E10,F5,F5-(F5-E10)*F6),F5)</f>
        <v/>
      </c>
      <c r="G7" s="641">
        <f>IF(G5&gt;0,IF(G5&lt;F10,G5,G5-(G5-F10)*G6),G5)</f>
        <v/>
      </c>
      <c r="H7" s="641">
        <f>IF(H5&gt;0,IF(H5&lt;G10,H5,H5-(H5-G10)*H6),H5)</f>
        <v/>
      </c>
      <c r="I7" s="641">
        <f>IF(I5&gt;0,IF(I5&lt;H10,I5,I5-(I5-H10)*I6),I5)</f>
        <v/>
      </c>
      <c r="J7" s="641">
        <f>IF(J5&gt;0,IF(J5&lt;I10,J5,J5-(J5-I10)*J6),J5)</f>
        <v/>
      </c>
      <c r="K7" s="641">
        <f>IF(K5&gt;0,IF(K5&lt;J10,K5,K5-(K5-J10)*K6),K5)</f>
        <v/>
      </c>
      <c r="L7" s="641">
        <f>IF(L5&gt;0,IF(L5&lt;K10,L5,L5-(L5-K10)*L6),L5)</f>
        <v/>
      </c>
      <c r="M7" s="641">
        <f>M5*(1-M6)</f>
        <v/>
      </c>
    </row>
    <row r="8" ht="15" customHeight="1">
      <c r="A8" s="31" t="inlineStr">
        <is>
          <t xml:space="preserve"> - Reinvestment</t>
        </is>
      </c>
      <c r="B8" s="640" t="n"/>
      <c r="C8" s="641">
        <f>IF('Input sheet'!$B$56="No",(D3-C3)/C38,IF('Input sheet'!$B$57=0,(C3-B3)/C38,IF('Input sheet'!$B$57=2,(E3-D3)/C38,IF('Input sheet'!$B$57=3,(F3-E3)/C38,(D3-C3)/C38))))</f>
        <v/>
      </c>
      <c r="D8" s="641">
        <f>IF('Input sheet'!$B$56="No",(E3-D3)/D38,IF('Input sheet'!$B$57=0,(D3-C3)/D38,IF('Input sheet'!$B$57=2,(F3-E3)/D38,IF('Input sheet'!$B$57=3,(G3-F3)/D38,(E3-D3)/D38))))</f>
        <v/>
      </c>
      <c r="E8" s="641">
        <f>IF('Input sheet'!$B$56="No",(F3-E3)/E38,IF('Input sheet'!$B$57=0,(E3-D3)/E38,IF('Input sheet'!$B$57=2,(G3-F3)/E38,IF('Input sheet'!$B$57=3,(H3-G3)/E38,(F3-E3)/E38))))</f>
        <v/>
      </c>
      <c r="F8" s="641">
        <f>IF('Input sheet'!$B$56="No",(G3-F3)/F38,IF('Input sheet'!$B$57=0,(F3-E3)/F38,IF('Input sheet'!$B$57=2,(H3-G3)/F38,IF('Input sheet'!$B$57=3,(I3-H3)/F38,(G3-F3)/F38))))</f>
        <v/>
      </c>
      <c r="G8" s="641">
        <f>IF('Input sheet'!$B$56="No",(H3-G3)/G38,IF('Input sheet'!$B$57=0,(G3-F3)/G38,IF('Input sheet'!$B$57=2,(I3-H3)/G38,IF('Input sheet'!$B$57=3,(J3-I3)/G38,(H3-G3)/G38))))</f>
        <v/>
      </c>
      <c r="H8" s="641">
        <f>IF('Input sheet'!$B$56="No",(I3-H3)/H38,IF('Input sheet'!$B$57=0,(H3-G3)/H38,IF('Input sheet'!$B$57=2,(J3-I3)/H38,IF('Input sheet'!$B$57=3,(K3-J3)/H38,(I3-H3)/H38))))</f>
        <v/>
      </c>
      <c r="I8" s="641">
        <f>IF('Input sheet'!$B$56="No",(J3-I3)/I38,IF('Input sheet'!$B$57=0,(I3-H3)/I38,IF('Input sheet'!$B$57=2,(K3-J3)/I38,IF('Input sheet'!$B$57=3,(L3-K3)/I38,(J3-I3)/I38))))</f>
        <v/>
      </c>
      <c r="J8" s="641">
        <f>IF('Input sheet'!$B$56="No",(K3-J3)/J38,IF('Input sheet'!$B$57=0,(J3-I3)/J38,IF('Input sheet'!$B$57=2,(L3-K3)/J38,IF('Input sheet'!$B$57=3,(M3-L3)/J38,(K3-J3)/J38))))</f>
        <v/>
      </c>
      <c r="K8" s="641">
        <f>IF('Input sheet'!$B$56="No",(L3-K3)/K38,IF('Input sheet'!$B$57=0,(K3-J3)/K38,IF('Input sheet'!$B$57=2,L3*L2/K38,IF('Input sheet'!$B$57=3,M3*M2/K38,(L3-K3)/K38))))</f>
        <v/>
      </c>
      <c r="L8" s="641">
        <f>IF('Input sheet'!$B$56="No",(M3-L3)/L38,IF('Input sheet'!$B$57=0,(L3-K3)/L38,IF('Input sheet'!$B$57=2,M3*M2/L38,IF('Input sheet'!$B$57=3,K8*(1+M2),(M3-L3)/L38))))</f>
        <v/>
      </c>
      <c r="M8" s="644">
        <f>IF(M2&gt;0,(M2/M40)*M7,0)</f>
        <v/>
      </c>
      <c r="N8" s="643">
        <f>SUM(C8:M8)</f>
        <v/>
      </c>
    </row>
    <row r="9" ht="15" customHeight="1">
      <c r="A9" s="31" t="inlineStr">
        <is>
          <t>FCFF</t>
        </is>
      </c>
      <c r="B9" s="640" t="n"/>
      <c r="C9" s="641">
        <f>C7-C8</f>
        <v/>
      </c>
      <c r="D9" s="641">
        <f>D7-D8</f>
        <v/>
      </c>
      <c r="E9" s="641">
        <f>E7-E8</f>
        <v/>
      </c>
      <c r="F9" s="641">
        <f>F7-F8</f>
        <v/>
      </c>
      <c r="G9" s="641">
        <f>G7-G8</f>
        <v/>
      </c>
      <c r="H9" s="641">
        <f>H7-H8</f>
        <v/>
      </c>
      <c r="I9" s="641">
        <f>I7-I8</f>
        <v/>
      </c>
      <c r="J9" s="641">
        <f>J7-J8</f>
        <v/>
      </c>
      <c r="K9" s="641">
        <f>K7-K8</f>
        <v/>
      </c>
      <c r="L9" s="641">
        <f>L7-L8</f>
        <v/>
      </c>
      <c r="M9" s="644">
        <f>M7-M8</f>
        <v/>
      </c>
    </row>
    <row r="10" ht="15" customHeight="1">
      <c r="A10" s="31" t="inlineStr">
        <is>
          <t>NOL</t>
        </is>
      </c>
      <c r="B10" s="640">
        <f>IF('Input sheet'!B61="Yes",'Input sheet'!B62,0)</f>
        <v/>
      </c>
      <c r="C10" s="641">
        <f>IF(C5&lt;0,B10-C5,IF(B10&gt;C5,B10-C5,0))</f>
        <v/>
      </c>
      <c r="D10" s="641">
        <f>IF(D5&lt;0,C10-D5,IF(C10&gt;D5,C10-D5,0))</f>
        <v/>
      </c>
      <c r="E10" s="641">
        <f>IF(E5&lt;0,D10-E5,IF(D10&gt;E5,D10-E5,0))</f>
        <v/>
      </c>
      <c r="F10" s="641">
        <f>IF(F5&lt;0,E10-F5,IF(E10&gt;F5,E10-F5,0))</f>
        <v/>
      </c>
      <c r="G10" s="641">
        <f>IF(G5&lt;0,F10-G5,IF(F10&gt;G5,F10-G5,0))</f>
        <v/>
      </c>
      <c r="H10" s="641">
        <f>IF(H5&lt;0,G10-H5,IF(G10&gt;H5,G10-H5,0))</f>
        <v/>
      </c>
      <c r="I10" s="641">
        <f>IF(I5&lt;0,H10-I5,IF(H10&gt;I5,H10-I5,0))</f>
        <v/>
      </c>
      <c r="J10" s="641">
        <f>IF(J5&lt;0,I10-J5,IF(I10&gt;J5,I10-J5,0))</f>
        <v/>
      </c>
      <c r="K10" s="641">
        <f>IF(K5&lt;0,J10-K5,IF(J10&gt;K5,J10-K5,0))</f>
        <v/>
      </c>
      <c r="L10" s="641">
        <f>IF(L5&lt;0,K10-L5,IF(K10&gt;L5,K10-L5,0))</f>
        <v/>
      </c>
      <c r="M10" s="641">
        <f>IF(M5&lt;0,L10-M5,IF(L10&gt;M5,L10-M5,0))</f>
        <v/>
      </c>
    </row>
    <row r="11" ht="15" customHeight="1">
      <c r="B11" s="40" t="n"/>
      <c r="C11" s="49" t="n"/>
      <c r="D11" s="49" t="n"/>
      <c r="E11" s="49" t="n"/>
      <c r="F11" s="49" t="n"/>
      <c r="G11" s="49" t="n"/>
      <c r="H11" s="49" t="n"/>
      <c r="I11" s="49" t="n"/>
      <c r="J11" s="49" t="n"/>
      <c r="K11" s="49" t="n"/>
      <c r="L11" s="49" t="n"/>
      <c r="M11" s="49" t="n"/>
    </row>
    <row r="12" ht="15" customHeight="1">
      <c r="A12" s="31" t="inlineStr">
        <is>
          <t>Cost of capital</t>
        </is>
      </c>
      <c r="B12" s="45" t="n"/>
      <c r="C12" s="41">
        <f>'Input sheet'!B35</f>
        <v/>
      </c>
      <c r="D12" s="41">
        <f>C12</f>
        <v/>
      </c>
      <c r="E12" s="41">
        <f>D12</f>
        <v/>
      </c>
      <c r="F12" s="41">
        <f>E12</f>
        <v/>
      </c>
      <c r="G12" s="41">
        <f>F12</f>
        <v/>
      </c>
      <c r="H12" s="41">
        <f>G12-($G$12-$M$12)/5</f>
        <v/>
      </c>
      <c r="I12" s="41">
        <f>H12-($G$12-$M$12)/5</f>
        <v/>
      </c>
      <c r="J12" s="41">
        <f>I12-($G$12-$M$12)/5</f>
        <v/>
      </c>
      <c r="K12" s="41">
        <f>J12-($G$12-$M$12)/5</f>
        <v/>
      </c>
      <c r="L12" s="41">
        <f>K12-($G$12-$M$12)/5</f>
        <v/>
      </c>
      <c r="M12" s="42">
        <f>IF('Input sheet'!B45="Yes",'Input sheet'!B46,IF('Input sheet'!B64="Yes",'Input sheet'!B65+'Country equity risk premiums'!B1,'Input sheet'!B34+'Country equity risk premiums'!B1))</f>
        <v/>
      </c>
    </row>
    <row r="13" ht="15" customHeight="1">
      <c r="A13" s="31" t="inlineStr">
        <is>
          <t>Cumulated discount factor</t>
        </is>
      </c>
      <c r="B13" s="40" t="n"/>
      <c r="C13" s="645">
        <f>1/(1+C12)</f>
        <v/>
      </c>
      <c r="D13" s="645">
        <f>C13*(1/(1+D12))</f>
        <v/>
      </c>
      <c r="E13" s="645">
        <f>D13*(1/(1+E12))</f>
        <v/>
      </c>
      <c r="F13" s="645">
        <f>E13*(1/(1+F12))</f>
        <v/>
      </c>
      <c r="G13" s="645">
        <f>F13*(1/(1+G12))</f>
        <v/>
      </c>
      <c r="H13" s="645">
        <f>G13*(1/(1+H12))</f>
        <v/>
      </c>
      <c r="I13" s="645">
        <f>H13*(1/(1+I12))</f>
        <v/>
      </c>
      <c r="J13" s="645">
        <f>I13*(1/(1+J12))</f>
        <v/>
      </c>
      <c r="K13" s="645">
        <f>J13*(1/(1+K12))</f>
        <v/>
      </c>
      <c r="L13" s="645">
        <f>K13*(1/(1+L12))</f>
        <v/>
      </c>
      <c r="M13" s="49" t="n"/>
    </row>
    <row r="14" ht="15" customHeight="1">
      <c r="A14" s="31" t="inlineStr">
        <is>
          <t>PV(FCFF)</t>
        </is>
      </c>
      <c r="B14" s="40" t="n"/>
      <c r="C14" s="641">
        <f>C9*C13</f>
        <v/>
      </c>
      <c r="D14" s="641">
        <f>D9*D13</f>
        <v/>
      </c>
      <c r="E14" s="641">
        <f>E9*E13</f>
        <v/>
      </c>
      <c r="F14" s="641">
        <f>F9*F13</f>
        <v/>
      </c>
      <c r="G14" s="641">
        <f>G9*G13</f>
        <v/>
      </c>
      <c r="H14" s="641">
        <f>H9*H13</f>
        <v/>
      </c>
      <c r="I14" s="641">
        <f>I9*I13</f>
        <v/>
      </c>
      <c r="J14" s="641">
        <f>J9*J13</f>
        <v/>
      </c>
      <c r="K14" s="641">
        <f>K9*K13</f>
        <v/>
      </c>
      <c r="L14" s="641">
        <f>L9*L13</f>
        <v/>
      </c>
      <c r="M14" s="49" t="n"/>
    </row>
    <row r="15" ht="15" customHeight="1"/>
    <row r="16" ht="15" customHeight="1">
      <c r="A16" s="30" t="inlineStr">
        <is>
          <t>Terminal cash flow</t>
        </is>
      </c>
      <c r="B16" s="640">
        <f>M9</f>
        <v/>
      </c>
    </row>
    <row r="17" ht="15" customHeight="1">
      <c r="A17" s="30" t="inlineStr">
        <is>
          <t>Terminal cost of capital</t>
        </is>
      </c>
      <c r="B17" s="45">
        <f>M12</f>
        <v/>
      </c>
      <c r="D17" s="646" t="n"/>
    </row>
    <row r="18">
      <c r="A18" s="30" t="inlineStr">
        <is>
          <t>Terminal value</t>
        </is>
      </c>
      <c r="B18" s="640">
        <f>B16/(B17-M2)</f>
        <v/>
      </c>
      <c r="D18" s="647" t="n"/>
      <c r="M18" s="646" t="n"/>
    </row>
    <row r="19">
      <c r="A19" s="30" t="inlineStr">
        <is>
          <t>PV(Terminal value)</t>
        </is>
      </c>
      <c r="B19" s="648">
        <f>B18*L13</f>
        <v/>
      </c>
      <c r="D19" s="646" t="n"/>
    </row>
    <row r="20">
      <c r="A20" s="30" t="inlineStr">
        <is>
          <t>PV (CF over next 10 years)</t>
        </is>
      </c>
      <c r="B20" s="648">
        <f>SUM(C14:L14)</f>
        <v/>
      </c>
    </row>
    <row r="21">
      <c r="A21" s="30" t="inlineStr">
        <is>
          <t>Sum of PV</t>
        </is>
      </c>
      <c r="B21" s="648">
        <f>B19+B20</f>
        <v/>
      </c>
    </row>
    <row r="22">
      <c r="A22" s="30" t="inlineStr">
        <is>
          <t>Probability of failure =</t>
        </is>
      </c>
      <c r="B22" s="51">
        <f>IF('Input sheet'!B51="Yes",'Input sheet'!B52,0)</f>
        <v/>
      </c>
      <c r="E22" s="646" t="n"/>
    </row>
    <row r="23">
      <c r="A23" s="30" t="inlineStr">
        <is>
          <t>Proceeds if firm fails =</t>
        </is>
      </c>
      <c r="B23" s="649">
        <f>IF('Input sheet'!B53="B",('Input sheet'!B14+'Input sheet'!B15)*'Input sheet'!B54,'Valuation output'!B21*'Input sheet'!B54)</f>
        <v/>
      </c>
    </row>
    <row r="24">
      <c r="A24" s="30" t="inlineStr">
        <is>
          <t>Value of operating assets =</t>
        </is>
      </c>
      <c r="B24" s="640">
        <f>B21*(1-B22)+B23*B22</f>
        <v/>
      </c>
    </row>
    <row r="25">
      <c r="A25" s="30" t="inlineStr">
        <is>
          <t xml:space="preserve"> - Debt</t>
        </is>
      </c>
      <c r="B25" s="640">
        <f>IF('Input sheet'!B17="Yes",'Input sheet'!B15+'Operating lease converter'!C28,'Input sheet'!B15)</f>
        <v/>
      </c>
    </row>
    <row r="26">
      <c r="A26" s="30" t="inlineStr">
        <is>
          <t xml:space="preserve"> - Minority interests</t>
        </is>
      </c>
      <c r="B26" s="640">
        <f>'Input sheet'!B20</f>
        <v/>
      </c>
    </row>
    <row r="27">
      <c r="A27" s="30" t="inlineStr">
        <is>
          <t xml:space="preserve"> +  Cash</t>
        </is>
      </c>
      <c r="B27" s="640">
        <f>IF('Input sheet'!B70="YES",'Input sheet'!B18-'Input sheet'!B71*('Input sheet'!B24-'Input sheet'!B72),'Input sheet'!B18)</f>
        <v/>
      </c>
    </row>
    <row r="28">
      <c r="A28" s="30" t="inlineStr">
        <is>
          <t xml:space="preserve"> + Non-operating assets</t>
        </is>
      </c>
      <c r="B28" s="640">
        <f>'Input sheet'!B19</f>
        <v/>
      </c>
    </row>
    <row r="29">
      <c r="A29" s="30" t="inlineStr">
        <is>
          <t>Value of equity</t>
        </is>
      </c>
      <c r="B29" s="648">
        <f>B24-B25-B26+B27+B28</f>
        <v/>
      </c>
    </row>
    <row r="30">
      <c r="A30" s="30" t="inlineStr">
        <is>
          <t xml:space="preserve"> - Value of options</t>
        </is>
      </c>
      <c r="B30" s="650">
        <f>IF('Input sheet'!B37="No",0,'Option value'!B29)</f>
        <v/>
      </c>
    </row>
    <row r="31">
      <c r="A31" s="30" t="inlineStr">
        <is>
          <t>Value of equity in common stock</t>
        </is>
      </c>
      <c r="B31" s="648">
        <f>B29-B30</f>
        <v/>
      </c>
    </row>
    <row r="32">
      <c r="A32" s="30" t="inlineStr">
        <is>
          <t>Number of shares</t>
        </is>
      </c>
      <c r="B32" s="54">
        <f>'Input sheet'!B21</f>
        <v/>
      </c>
    </row>
    <row r="33">
      <c r="A33" s="30" t="inlineStr">
        <is>
          <t>Estimated value /share</t>
        </is>
      </c>
      <c r="B33" s="651">
        <f>B31/B32</f>
        <v/>
      </c>
    </row>
    <row r="34">
      <c r="A34" s="30" t="inlineStr">
        <is>
          <t>Price</t>
        </is>
      </c>
      <c r="B34" s="640">
        <f>'Input sheet'!B22</f>
        <v/>
      </c>
    </row>
    <row r="35">
      <c r="A35" s="30" t="inlineStr">
        <is>
          <t>Price as % of value</t>
        </is>
      </c>
      <c r="B35" s="46">
        <f>B34/B33</f>
        <v/>
      </c>
    </row>
    <row r="37">
      <c r="A37" s="32" t="inlineStr">
        <is>
          <t>Implied variables</t>
        </is>
      </c>
      <c r="B37" s="40" t="n"/>
      <c r="C37" s="49" t="n"/>
      <c r="D37" s="49" t="n"/>
      <c r="E37" s="49" t="n"/>
      <c r="F37" s="49" t="n"/>
      <c r="G37" s="49" t="n"/>
      <c r="H37" s="49" t="n"/>
      <c r="I37" s="49" t="n"/>
      <c r="J37" s="49" t="n"/>
      <c r="K37" s="49" t="n"/>
      <c r="L37" s="49" t="n"/>
      <c r="M37" s="49" t="inlineStr">
        <is>
          <t>After year 10</t>
        </is>
      </c>
    </row>
    <row r="38">
      <c r="A38" s="30" t="inlineStr">
        <is>
          <t>Sales to capital ratio</t>
        </is>
      </c>
      <c r="B38" s="40" t="n"/>
      <c r="C38" s="56">
        <f>'Input sheet'!B31</f>
        <v/>
      </c>
      <c r="D38" s="56">
        <f>'Input sheet'!B31</f>
        <v/>
      </c>
      <c r="E38" s="56">
        <f>D38</f>
        <v/>
      </c>
      <c r="F38" s="56">
        <f>E38</f>
        <v/>
      </c>
      <c r="G38" s="56">
        <f>'Input sheet'!B32</f>
        <v/>
      </c>
      <c r="H38" s="56">
        <f>G38</f>
        <v/>
      </c>
      <c r="I38" s="56">
        <f>H38</f>
        <v/>
      </c>
      <c r="J38" s="56">
        <f>I38</f>
        <v/>
      </c>
      <c r="K38" s="56">
        <f>J38</f>
        <v/>
      </c>
      <c r="L38" s="56">
        <f>K38</f>
        <v/>
      </c>
      <c r="M38" s="49" t="n"/>
    </row>
    <row r="39">
      <c r="A39" s="30" t="inlineStr">
        <is>
          <t>Invested capital</t>
        </is>
      </c>
      <c r="B39" s="652">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
      </c>
      <c r="C39" s="653">
        <f>B39+C8</f>
        <v/>
      </c>
      <c r="D39" s="653">
        <f>C39+D8</f>
        <v/>
      </c>
      <c r="E39" s="653">
        <f>D39+E8</f>
        <v/>
      </c>
      <c r="F39" s="653">
        <f>E39+F8</f>
        <v/>
      </c>
      <c r="G39" s="653">
        <f>F39+G8</f>
        <v/>
      </c>
      <c r="H39" s="653">
        <f>G39+H8</f>
        <v/>
      </c>
      <c r="I39" s="653">
        <f>H39+I8</f>
        <v/>
      </c>
      <c r="J39" s="653">
        <f>I39+J8</f>
        <v/>
      </c>
      <c r="K39" s="653">
        <f>J39+K8</f>
        <v/>
      </c>
      <c r="L39" s="653">
        <f>K39+L8</f>
        <v/>
      </c>
      <c r="M39" s="49" t="n"/>
    </row>
    <row r="40">
      <c r="A40" s="30" t="inlineStr">
        <is>
          <t>ROIC</t>
        </is>
      </c>
      <c r="B40" s="45">
        <f>B7/B39</f>
        <v/>
      </c>
      <c r="C40" s="41">
        <f>C7/B39</f>
        <v/>
      </c>
      <c r="D40" s="41">
        <f>D7/C39</f>
        <v/>
      </c>
      <c r="E40" s="41">
        <f>E7/D39</f>
        <v/>
      </c>
      <c r="F40" s="41">
        <f>F7/E39</f>
        <v/>
      </c>
      <c r="G40" s="41">
        <f>G7/F39</f>
        <v/>
      </c>
      <c r="H40" s="41">
        <f>H7/G39</f>
        <v/>
      </c>
      <c r="I40" s="41">
        <f>I7/H39</f>
        <v/>
      </c>
      <c r="J40" s="41">
        <f>J7/I39</f>
        <v/>
      </c>
      <c r="K40" s="41">
        <f>K7/J39</f>
        <v/>
      </c>
      <c r="L40" s="41">
        <f>L7/K39</f>
        <v/>
      </c>
      <c r="M40" s="41">
        <f>IF('Input sheet'!B48="Yes",'Input sheet'!B49,'Valuation output'!L12)</f>
        <v/>
      </c>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tabSelected="1" zoomScale="116" zoomScaleNormal="116" workbookViewId="0">
      <selection activeCell="G14" sqref="G14"/>
    </sheetView>
  </sheetViews>
  <sheetFormatPr baseColWidth="10" defaultRowHeight="16"/>
  <cols>
    <col width="20.33203125" customWidth="1" style="132" min="1" max="1"/>
    <col width="19.5" customWidth="1" style="132" min="2" max="2"/>
    <col width="17.6640625" customWidth="1" style="132" min="3" max="3"/>
    <col width="16.5" customWidth="1" style="132" min="4" max="4"/>
    <col width="19.1640625" customWidth="1" style="132" min="5" max="5"/>
    <col width="24.6640625" customWidth="1" style="134" min="6" max="6"/>
    <col width="37.33203125" customWidth="1" style="132" min="7" max="7"/>
    <col width="17" customWidth="1" min="8" max="8"/>
    <col width="12.5" bestFit="1" customWidth="1" min="13" max="13"/>
  </cols>
  <sheetData>
    <row r="1">
      <c r="A1" s="654">
        <f>'Input sheet'!B4</f>
        <v/>
      </c>
      <c r="B1" s="626" t="n"/>
      <c r="C1" s="626" t="n"/>
      <c r="D1" s="626" t="n"/>
      <c r="E1" s="626" t="n"/>
      <c r="F1" s="627" t="n"/>
      <c r="G1" s="157">
        <f>'Input sheet'!B3</f>
        <v/>
      </c>
    </row>
    <row r="2">
      <c r="A2" s="526" t="inlineStr">
        <is>
          <t>The Unfriended company finds friends againg..</t>
        </is>
      </c>
      <c r="B2" s="626" t="n"/>
      <c r="C2" s="626" t="n"/>
      <c r="D2" s="626" t="n"/>
      <c r="E2" s="626" t="n"/>
      <c r="F2" s="626" t="n"/>
      <c r="G2" s="627" t="n"/>
    </row>
    <row r="3" ht="16" customHeight="1">
      <c r="A3" s="655" t="inlineStr">
        <is>
          <t>Meta seems to have learned good lessons from the Metaverse fiasco, and seems to be managing its transition to middle age well. Its decision to underplay its growth plans (and costs) and start paying dividends indicate that the company is facing up to the reality that growth is on its way down. The online ad business has matured and increased competiiton from Google and niche players will push margins down oer time.</t>
        </is>
      </c>
      <c r="B3" s="656" t="n"/>
      <c r="C3" s="656" t="n"/>
      <c r="D3" s="656" t="n"/>
      <c r="E3" s="656" t="n"/>
      <c r="F3" s="656" t="n"/>
      <c r="G3" s="657" t="n"/>
      <c r="H3" s="658" t="inlineStr">
        <is>
          <t>Tell your story about the company. Keep it focuses on the company's businesses and tie it into the three key levers of value: cash flows, growth and risk</t>
        </is>
      </c>
      <c r="I3" s="656" t="n"/>
      <c r="J3" s="656" t="n"/>
      <c r="K3" s="657" t="n"/>
    </row>
    <row r="4" ht="16" customHeight="1">
      <c r="A4" s="659" t="n"/>
      <c r="G4" s="660" t="n"/>
      <c r="H4" s="659" t="n"/>
      <c r="K4" s="660" t="n"/>
    </row>
    <row r="5" ht="12" customHeight="1">
      <c r="A5" s="659" t="n"/>
      <c r="G5" s="660" t="n"/>
      <c r="H5" s="659" t="n"/>
      <c r="K5" s="660" t="n"/>
    </row>
    <row r="6" ht="17" customHeight="1">
      <c r="A6" s="661" t="n"/>
      <c r="B6" s="662" t="n"/>
      <c r="C6" s="662" t="n"/>
      <c r="D6" s="662" t="n"/>
      <c r="E6" s="662" t="n"/>
      <c r="F6" s="662" t="n"/>
      <c r="G6" s="663" t="n"/>
      <c r="H6" s="661" t="n"/>
      <c r="I6" s="662" t="n"/>
      <c r="J6" s="662" t="n"/>
      <c r="K6" s="663" t="n"/>
    </row>
    <row r="7">
      <c r="A7" s="664" t="inlineStr">
        <is>
          <t>The Assumptions</t>
        </is>
      </c>
      <c r="B7" s="626" t="n"/>
      <c r="C7" s="626" t="n"/>
      <c r="D7" s="626" t="n"/>
      <c r="E7" s="626" t="n"/>
      <c r="F7" s="626" t="n"/>
      <c r="G7" s="627" t="n"/>
    </row>
    <row r="8">
      <c r="A8" s="117" t="n"/>
      <c r="B8" s="114" t="inlineStr">
        <is>
          <t>Base year</t>
        </is>
      </c>
      <c r="C8" s="179" t="inlineStr">
        <is>
          <t>Next year</t>
        </is>
      </c>
      <c r="D8" s="115" t="inlineStr">
        <is>
          <t>Years 2-5</t>
        </is>
      </c>
      <c r="E8" s="114" t="inlineStr">
        <is>
          <t>Years 6-10</t>
        </is>
      </c>
      <c r="F8" s="114" t="inlineStr">
        <is>
          <t>After year 10</t>
        </is>
      </c>
      <c r="G8" s="116" t="inlineStr">
        <is>
          <t>Link to story</t>
        </is>
      </c>
    </row>
    <row r="9" ht="51" customHeight="1">
      <c r="A9" s="118" t="inlineStr">
        <is>
          <t>Revenues (a)</t>
        </is>
      </c>
      <c r="B9" s="665">
        <f>'Valuation output'!B3</f>
        <v/>
      </c>
      <c r="C9" s="666">
        <f>'Input sheet'!B26</f>
        <v/>
      </c>
      <c r="D9" s="160">
        <f>'Input sheet'!B28</f>
        <v/>
      </c>
      <c r="E9" s="160" t="inlineStr">
        <is>
          <t>Changes to</t>
        </is>
      </c>
      <c r="F9" s="119">
        <f>'Valuation output'!M2</f>
        <v/>
      </c>
      <c r="G9" s="618" t="inlineStr">
        <is>
          <t>Online ad business has matured, but growth will come from increased monetization of Whatsapp.</t>
        </is>
      </c>
      <c r="H9" s="667" t="inlineStr">
        <is>
          <t>Tie each assumption to the part of your story that relates to it.</t>
        </is>
      </c>
      <c r="I9" s="656" t="n"/>
      <c r="J9" s="656" t="n"/>
      <c r="K9" s="657" t="n"/>
    </row>
    <row r="10" ht="34" customHeight="1">
      <c r="A10" s="118" t="inlineStr">
        <is>
          <t>Operating margin (b)</t>
        </is>
      </c>
      <c r="B10" s="119">
        <f>'Valuation output'!B4</f>
        <v/>
      </c>
      <c r="C10" s="666">
        <f>'Input sheet'!B27</f>
        <v/>
      </c>
      <c r="D10" s="161" t="inlineStr">
        <is>
          <t>Moves to</t>
        </is>
      </c>
      <c r="E10" s="162">
        <f>'Valuation output'!G4</f>
        <v/>
      </c>
      <c r="F10" s="119">
        <f>'Valuation output'!M4</f>
        <v/>
      </c>
      <c r="G10" s="263" t="inlineStr">
        <is>
          <t>Sky high margins will stay high, but competition will cause some slippage.</t>
        </is>
      </c>
      <c r="H10" s="659" t="n"/>
      <c r="K10" s="660" t="n"/>
    </row>
    <row r="11">
      <c r="A11" s="118" t="inlineStr">
        <is>
          <t>Tax rate</t>
        </is>
      </c>
      <c r="B11" s="119">
        <f>'Valuation output'!B6</f>
        <v/>
      </c>
      <c r="C11" s="181" t="n"/>
      <c r="D11" s="160">
        <f>B11</f>
        <v/>
      </c>
      <c r="E11" s="160" t="inlineStr">
        <is>
          <t>Changes to</t>
        </is>
      </c>
      <c r="F11" s="119">
        <f>'Valuation output'!M6</f>
        <v/>
      </c>
      <c r="G11" s="264" t="inlineStr">
        <is>
          <t>Global/US marginal tax rate over time</t>
        </is>
      </c>
      <c r="H11" s="659" t="n"/>
      <c r="K11" s="660" t="n"/>
    </row>
    <row r="12">
      <c r="A12" s="118" t="inlineStr">
        <is>
          <t>Sales to Capital  (c )</t>
        </is>
      </c>
      <c r="B12" s="120" t="n"/>
      <c r="C12" s="182">
        <f>'Input sheet'!B31</f>
        <v/>
      </c>
      <c r="D12" s="159">
        <f>'Input sheet'!B31</f>
        <v/>
      </c>
      <c r="E12" s="158">
        <f>'Input sheet'!B32</f>
        <v/>
      </c>
      <c r="F12" s="121">
        <f>'Valuation output'!M2/'Valuation output'!M40</f>
        <v/>
      </c>
      <c r="G12" s="264" t="inlineStr">
        <is>
          <t>Maintained at current levels (approximately)</t>
        </is>
      </c>
      <c r="H12" s="659" t="n"/>
      <c r="K12" s="660" t="n"/>
    </row>
    <row r="13">
      <c r="A13" s="135" t="inlineStr">
        <is>
          <t>Return on capital</t>
        </is>
      </c>
      <c r="B13" s="137">
        <f>'Valuation output'!B40</f>
        <v/>
      </c>
      <c r="C13" s="119" t="inlineStr">
        <is>
          <t>Marginal ROIC =</t>
        </is>
      </c>
      <c r="D13" s="668">
        <f>Diagnostics!C27</f>
        <v/>
      </c>
      <c r="E13" s="627" t="n"/>
      <c r="F13" s="136">
        <f>'Valuation output'!M40</f>
        <v/>
      </c>
      <c r="G13" s="265" t="inlineStr">
        <is>
          <t>Strong competitive edges</t>
        </is>
      </c>
      <c r="H13" s="659" t="n"/>
      <c r="K13" s="660" t="n"/>
    </row>
    <row r="14" ht="17" customHeight="1" thickBot="1">
      <c r="A14" s="122" t="inlineStr">
        <is>
          <t>Cost of capital (d)</t>
        </is>
      </c>
      <c r="B14" s="138" t="n"/>
      <c r="C14" s="120" t="n"/>
      <c r="D14" s="161">
        <f>'Valuation output'!C12</f>
        <v/>
      </c>
      <c r="E14" s="162" t="n"/>
      <c r="F14" s="123">
        <f>'Valuation output'!M12</f>
        <v/>
      </c>
      <c r="G14" s="266" t="inlineStr">
        <is>
          <t>Cost of capital close to median company</t>
        </is>
      </c>
      <c r="H14" s="661" t="n"/>
      <c r="I14" s="662" t="n"/>
      <c r="J14" s="662" t="n"/>
      <c r="K14" s="663" t="n"/>
    </row>
    <row r="15" ht="17" customHeight="1" thickBot="1">
      <c r="A15" s="530" t="inlineStr">
        <is>
          <t>The Cash Flows</t>
        </is>
      </c>
      <c r="G15" s="660" t="n"/>
    </row>
    <row r="16">
      <c r="A16" s="113" t="n"/>
      <c r="B16" s="167" t="inlineStr">
        <is>
          <t>Revenues</t>
        </is>
      </c>
      <c r="C16" s="167" t="inlineStr">
        <is>
          <t>Operating Margin</t>
        </is>
      </c>
      <c r="D16" s="168" t="inlineStr">
        <is>
          <t>EBIT</t>
        </is>
      </c>
      <c r="E16" s="168" t="inlineStr">
        <is>
          <t>EBIT (1-t)</t>
        </is>
      </c>
      <c r="F16" s="168" t="inlineStr">
        <is>
          <t xml:space="preserve">Reinvestment </t>
        </is>
      </c>
      <c r="G16" s="169" t="inlineStr">
        <is>
          <t>FCFF</t>
        </is>
      </c>
      <c r="H16" s="669"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656" t="n"/>
      <c r="J16" s="656" t="n"/>
      <c r="K16" s="657" t="n"/>
    </row>
    <row r="17">
      <c r="A17" s="124" t="n">
        <v>1</v>
      </c>
      <c r="B17" s="665">
        <f>'Valuation output'!C3</f>
        <v/>
      </c>
      <c r="C17" s="125">
        <f>'Valuation output'!C4</f>
        <v/>
      </c>
      <c r="D17" s="665">
        <f>B17*C17</f>
        <v/>
      </c>
      <c r="E17" s="665">
        <f>'Valuation output'!C7</f>
        <v/>
      </c>
      <c r="F17" s="665">
        <f>'Valuation output'!C8</f>
        <v/>
      </c>
      <c r="G17" s="670">
        <f>E17-F17</f>
        <v/>
      </c>
      <c r="H17" s="659" t="n"/>
      <c r="K17" s="660" t="n"/>
    </row>
    <row r="18">
      <c r="A18" s="124" t="n">
        <v>2</v>
      </c>
      <c r="B18" s="665">
        <f>'Valuation output'!D3</f>
        <v/>
      </c>
      <c r="C18" s="125">
        <f>'Valuation output'!D4</f>
        <v/>
      </c>
      <c r="D18" s="665">
        <f>B18*C18</f>
        <v/>
      </c>
      <c r="E18" s="665">
        <f>'Valuation output'!D7</f>
        <v/>
      </c>
      <c r="F18" s="665">
        <f>'Valuation output'!D8</f>
        <v/>
      </c>
      <c r="G18" s="670">
        <f>E18-F18</f>
        <v/>
      </c>
      <c r="H18" s="659" t="n"/>
      <c r="K18" s="660" t="n"/>
    </row>
    <row r="19">
      <c r="A19" s="124" t="n">
        <v>3</v>
      </c>
      <c r="B19" s="665">
        <f>'Valuation output'!E3</f>
        <v/>
      </c>
      <c r="C19" s="125">
        <f>'Valuation output'!E4</f>
        <v/>
      </c>
      <c r="D19" s="665">
        <f>B19*C19</f>
        <v/>
      </c>
      <c r="E19" s="665">
        <f>'Valuation output'!E7</f>
        <v/>
      </c>
      <c r="F19" s="665">
        <f>'Valuation output'!E8</f>
        <v/>
      </c>
      <c r="G19" s="670">
        <f>E19-F19</f>
        <v/>
      </c>
      <c r="H19" s="659" t="n"/>
      <c r="K19" s="660" t="n"/>
    </row>
    <row r="20">
      <c r="A20" s="124" t="n">
        <v>4</v>
      </c>
      <c r="B20" s="665">
        <f>'Valuation output'!F3</f>
        <v/>
      </c>
      <c r="C20" s="125">
        <f>'Valuation output'!F4</f>
        <v/>
      </c>
      <c r="D20" s="665">
        <f>B20*C20</f>
        <v/>
      </c>
      <c r="E20" s="665">
        <f>'Valuation output'!F7</f>
        <v/>
      </c>
      <c r="F20" s="665">
        <f>'Valuation output'!F8</f>
        <v/>
      </c>
      <c r="G20" s="670">
        <f>E20-F20</f>
        <v/>
      </c>
      <c r="H20" s="659" t="n"/>
      <c r="K20" s="660" t="n"/>
    </row>
    <row r="21">
      <c r="A21" s="124" t="n">
        <v>5</v>
      </c>
      <c r="B21" s="665">
        <f>'Valuation output'!G3</f>
        <v/>
      </c>
      <c r="C21" s="125">
        <f>'Valuation output'!G4</f>
        <v/>
      </c>
      <c r="D21" s="665">
        <f>B21*C21</f>
        <v/>
      </c>
      <c r="E21" s="665">
        <f>'Valuation output'!G7</f>
        <v/>
      </c>
      <c r="F21" s="665">
        <f>'Valuation output'!G8</f>
        <v/>
      </c>
      <c r="G21" s="670">
        <f>E21-F21</f>
        <v/>
      </c>
      <c r="H21" s="659" t="n"/>
      <c r="K21" s="660" t="n"/>
    </row>
    <row r="22">
      <c r="A22" s="124" t="n">
        <v>6</v>
      </c>
      <c r="B22" s="665">
        <f>'Valuation output'!H3</f>
        <v/>
      </c>
      <c r="C22" s="125">
        <f>'Valuation output'!H4</f>
        <v/>
      </c>
      <c r="D22" s="665">
        <f>B22*C22</f>
        <v/>
      </c>
      <c r="E22" s="665">
        <f>'Valuation output'!H7</f>
        <v/>
      </c>
      <c r="F22" s="665">
        <f>'Valuation output'!H8</f>
        <v/>
      </c>
      <c r="G22" s="670">
        <f>E22-F22</f>
        <v/>
      </c>
      <c r="H22" s="659" t="n"/>
      <c r="K22" s="660" t="n"/>
    </row>
    <row r="23">
      <c r="A23" s="124" t="n">
        <v>7</v>
      </c>
      <c r="B23" s="665">
        <f>'Valuation output'!I3</f>
        <v/>
      </c>
      <c r="C23" s="125">
        <f>'Valuation output'!I4</f>
        <v/>
      </c>
      <c r="D23" s="665">
        <f>B23*C23</f>
        <v/>
      </c>
      <c r="E23" s="665">
        <f>'Valuation output'!I7</f>
        <v/>
      </c>
      <c r="F23" s="665">
        <f>'Valuation output'!I8</f>
        <v/>
      </c>
      <c r="G23" s="670">
        <f>E23-F23</f>
        <v/>
      </c>
      <c r="H23" s="659" t="n"/>
      <c r="K23" s="660" t="n"/>
    </row>
    <row r="24">
      <c r="A24" s="124" t="n">
        <v>8</v>
      </c>
      <c r="B24" s="665">
        <f>'Valuation output'!J3</f>
        <v/>
      </c>
      <c r="C24" s="125">
        <f>'Valuation output'!J4</f>
        <v/>
      </c>
      <c r="D24" s="665">
        <f>B24*C24</f>
        <v/>
      </c>
      <c r="E24" s="665">
        <f>'Valuation output'!J7</f>
        <v/>
      </c>
      <c r="F24" s="665">
        <f>'Valuation output'!J8</f>
        <v/>
      </c>
      <c r="G24" s="670">
        <f>E24-F24</f>
        <v/>
      </c>
      <c r="H24" s="659" t="n"/>
      <c r="K24" s="660" t="n"/>
    </row>
    <row r="25">
      <c r="A25" s="124" t="n">
        <v>9</v>
      </c>
      <c r="B25" s="665">
        <f>'Valuation output'!K3</f>
        <v/>
      </c>
      <c r="C25" s="125">
        <f>'Valuation output'!K4</f>
        <v/>
      </c>
      <c r="D25" s="665">
        <f>B25*C25</f>
        <v/>
      </c>
      <c r="E25" s="665">
        <f>'Valuation output'!K7</f>
        <v/>
      </c>
      <c r="F25" s="665">
        <f>'Valuation output'!K8</f>
        <v/>
      </c>
      <c r="G25" s="670">
        <f>E25-F25</f>
        <v/>
      </c>
      <c r="H25" s="659" t="n"/>
      <c r="K25" s="660" t="n"/>
    </row>
    <row r="26">
      <c r="A26" s="124" t="n">
        <v>10</v>
      </c>
      <c r="B26" s="665">
        <f>'Valuation output'!L3</f>
        <v/>
      </c>
      <c r="C26" s="125">
        <f>'Valuation output'!L4</f>
        <v/>
      </c>
      <c r="D26" s="665">
        <f>B26*C26</f>
        <v/>
      </c>
      <c r="E26" s="665">
        <f>'Valuation output'!L7</f>
        <v/>
      </c>
      <c r="F26" s="665">
        <f>'Valuation output'!L8</f>
        <v/>
      </c>
      <c r="G26" s="670">
        <f>E26-F26</f>
        <v/>
      </c>
      <c r="H26" s="659" t="n"/>
      <c r="K26" s="660" t="n"/>
    </row>
    <row r="27" ht="17" customHeight="1" thickBot="1">
      <c r="A27" s="126" t="inlineStr">
        <is>
          <t>Terminal year</t>
        </is>
      </c>
      <c r="B27" s="671">
        <f>'Valuation output'!M3</f>
        <v/>
      </c>
      <c r="C27" s="127">
        <f>'Valuation output'!M4</f>
        <v/>
      </c>
      <c r="D27" s="665">
        <f>B27*C27</f>
        <v/>
      </c>
      <c r="E27" s="671">
        <f>'Valuation output'!M7</f>
        <v/>
      </c>
      <c r="F27" s="671">
        <f>'Valuation output'!M8</f>
        <v/>
      </c>
      <c r="G27" s="670">
        <f>E27-F27</f>
        <v/>
      </c>
      <c r="H27" s="661" t="n"/>
      <c r="I27" s="662" t="n"/>
      <c r="J27" s="662" t="n"/>
      <c r="K27" s="663" t="n"/>
    </row>
    <row r="28" ht="17" customHeight="1" thickBot="1">
      <c r="A28" s="530" t="inlineStr">
        <is>
          <t>The Value</t>
        </is>
      </c>
      <c r="G28" s="660" t="n"/>
    </row>
    <row r="29">
      <c r="A29" s="672" t="inlineStr">
        <is>
          <t>Terminal value</t>
        </is>
      </c>
      <c r="B29" s="673" t="n"/>
      <c r="C29" s="674" t="n"/>
      <c r="D29" s="675">
        <f>'Valuation output'!B18</f>
        <v/>
      </c>
      <c r="E29" s="676" t="n"/>
      <c r="F29" s="129" t="n"/>
      <c r="G29" s="130" t="n"/>
      <c r="H29" s="521"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478" t="inlineStr">
        <is>
          <t>PV(Terminal value)</t>
        </is>
      </c>
      <c r="B30" s="626" t="n"/>
      <c r="C30" s="627" t="n"/>
      <c r="D30" s="677">
        <f>'Valuation output'!B19</f>
        <v/>
      </c>
      <c r="E30" s="678" t="n"/>
      <c r="F30" s="132" t="n"/>
      <c r="G30" s="133" t="n"/>
      <c r="H30" s="679" t="n"/>
    </row>
    <row r="31">
      <c r="A31" s="478" t="inlineStr">
        <is>
          <t>PV (CF over next 10 years)</t>
        </is>
      </c>
      <c r="B31" s="626" t="n"/>
      <c r="C31" s="627" t="n"/>
      <c r="D31" s="677">
        <f>'Valuation output'!B20</f>
        <v/>
      </c>
      <c r="E31" s="678" t="n"/>
      <c r="F31" s="132" t="n"/>
      <c r="G31" s="133" t="n"/>
      <c r="H31" s="679" t="n"/>
    </row>
    <row r="32">
      <c r="A32" s="478" t="inlineStr">
        <is>
          <t>Value of operating assets =</t>
        </is>
      </c>
      <c r="B32" s="626" t="n"/>
      <c r="C32" s="627" t="n"/>
      <c r="D32" s="677">
        <f>'Valuation output'!B21</f>
        <v/>
      </c>
      <c r="E32" s="678" t="n"/>
      <c r="F32" s="132" t="n"/>
      <c r="G32" s="133" t="n"/>
      <c r="H32" s="679" t="n"/>
    </row>
    <row r="33">
      <c r="A33" s="478" t="inlineStr">
        <is>
          <t>Adjustment for distress</t>
        </is>
      </c>
      <c r="B33" s="626" t="n"/>
      <c r="C33" s="627" t="n"/>
      <c r="D33" s="680">
        <f>D32-'Valuation output'!B24</f>
        <v/>
      </c>
      <c r="E33" s="681" t="inlineStr">
        <is>
          <t>Probability of failure =</t>
        </is>
      </c>
      <c r="F33" s="626" t="n"/>
      <c r="G33" s="451">
        <f>'Valuation output'!B22</f>
        <v/>
      </c>
      <c r="H33" s="679" t="n"/>
    </row>
    <row r="34">
      <c r="A34" s="478" t="inlineStr">
        <is>
          <t xml:space="preserve"> - Debt &amp; Minority Interests</t>
        </is>
      </c>
      <c r="B34" s="626" t="n"/>
      <c r="C34" s="627" t="n"/>
      <c r="D34" s="677">
        <f>'Valuation output'!B25+'Valuation output'!B26</f>
        <v/>
      </c>
      <c r="E34" s="678" t="n"/>
      <c r="F34" s="132" t="n"/>
      <c r="G34" s="133" t="n"/>
      <c r="H34" s="679" t="n"/>
    </row>
    <row r="35">
      <c r="A35" s="478" t="inlineStr">
        <is>
          <t xml:space="preserve"> + Cash &amp; Other Non-operating assets</t>
        </is>
      </c>
      <c r="B35" s="626" t="n"/>
      <c r="C35" s="627" t="n"/>
      <c r="D35" s="677">
        <f>'Valuation output'!B27+'Valuation output'!B28</f>
        <v/>
      </c>
      <c r="E35" s="678" t="n"/>
      <c r="F35" s="132" t="n"/>
      <c r="G35" s="133" t="n"/>
      <c r="H35" s="679" t="n"/>
    </row>
    <row r="36">
      <c r="A36" s="478" t="inlineStr">
        <is>
          <t>Value of equity</t>
        </is>
      </c>
      <c r="B36" s="626" t="n"/>
      <c r="C36" s="627" t="n"/>
      <c r="D36" s="677">
        <f>D32-D33-D34+D35</f>
        <v/>
      </c>
      <c r="E36" s="678" t="n"/>
      <c r="F36" s="132" t="n"/>
      <c r="G36" s="133" t="n"/>
      <c r="H36" s="679" t="n"/>
    </row>
    <row r="37">
      <c r="A37" s="478" t="inlineStr">
        <is>
          <t xml:space="preserve"> - Value of equity options</t>
        </is>
      </c>
      <c r="B37" s="626" t="n"/>
      <c r="C37" s="627" t="n"/>
      <c r="D37" s="677">
        <f>'Valuation output'!B30</f>
        <v/>
      </c>
      <c r="E37" s="678" t="n"/>
      <c r="F37" s="132" t="n"/>
      <c r="G37" s="133" t="n"/>
      <c r="H37" s="679" t="n"/>
    </row>
    <row r="38" ht="17" customHeight="1" thickBot="1">
      <c r="A38" s="478" t="inlineStr">
        <is>
          <t>Number of shares</t>
        </is>
      </c>
      <c r="B38" s="626" t="n"/>
      <c r="C38" s="627" t="n"/>
      <c r="D38" s="186">
        <f>'Valuation output'!B32</f>
        <v/>
      </c>
      <c r="G38" s="133" t="n"/>
      <c r="H38" s="679" t="n"/>
    </row>
    <row r="39" ht="17" customHeight="1" thickBot="1">
      <c r="A39" s="531" t="inlineStr">
        <is>
          <t>Value per share</t>
        </is>
      </c>
      <c r="B39" s="682" t="n"/>
      <c r="C39" s="683" t="n"/>
      <c r="D39" s="684">
        <f>(D36-D37)/D38</f>
        <v/>
      </c>
      <c r="E39" s="476" t="inlineStr">
        <is>
          <t>Stock was trading at =</t>
        </is>
      </c>
      <c r="F39" s="620" t="n"/>
      <c r="G39" s="685">
        <f>'Input sheet'!B22</f>
        <v/>
      </c>
      <c r="H39" s="679" t="n"/>
      <c r="M39" s="156" t="n"/>
    </row>
    <row r="40">
      <c r="M40" s="686" t="n"/>
    </row>
  </sheetData>
  <mergeCells count="24">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 ref="A33:C33"/>
    <mergeCell ref="A32:C32"/>
    <mergeCell ref="E39:F39"/>
    <mergeCell ref="A31:C31"/>
    <mergeCell ref="A34:C34"/>
    <mergeCell ref="A35:C35"/>
    <mergeCell ref="A38:C38"/>
    <mergeCell ref="A36:C36"/>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38"/>
  <sheetViews>
    <sheetView zoomScale="88" zoomScaleNormal="88" workbookViewId="0">
      <selection activeCell="D33" sqref="D33:E38"/>
    </sheetView>
  </sheetViews>
  <sheetFormatPr baseColWidth="10" defaultRowHeight="14"/>
  <cols>
    <col width="27.83203125" customWidth="1" style="342" min="1" max="1"/>
    <col width="13" customWidth="1" style="342" min="2" max="2"/>
    <col width="10.83203125" customWidth="1" style="342" min="3" max="3"/>
    <col width="16.1640625" customWidth="1" style="342" min="4" max="4"/>
    <col width="12.6640625" bestFit="1" customWidth="1" style="342" min="5" max="5"/>
    <col width="11.5" bestFit="1" customWidth="1" style="342" min="6" max="10"/>
    <col width="13" bestFit="1" customWidth="1" style="342" min="11" max="13"/>
    <col width="13.6640625" bestFit="1" customWidth="1" style="342" min="14" max="14"/>
    <col width="16" customWidth="1" style="342" min="15" max="15"/>
    <col width="10.83203125" customWidth="1" style="342" min="16" max="16"/>
  </cols>
  <sheetData>
    <row r="1" customFormat="1" s="2">
      <c r="A1" s="341" t="inlineStr">
        <is>
          <t>You can modify this picture and bring in relevant details to back up your cost of capital and other details that you think flesh out your company's valuation story.</t>
        </is>
      </c>
      <c r="B1" s="341" t="n"/>
      <c r="C1" s="341" t="n"/>
      <c r="D1" s="341" t="n"/>
      <c r="E1" s="341" t="n"/>
      <c r="F1" s="341" t="n"/>
      <c r="G1" s="341" t="n"/>
      <c r="H1" s="341" t="n"/>
      <c r="I1" s="341" t="n"/>
      <c r="J1" s="341" t="n"/>
      <c r="K1" s="341" t="n"/>
      <c r="L1" s="341" t="n"/>
      <c r="M1" s="341" t="n"/>
      <c r="N1" s="341" t="n"/>
      <c r="O1" s="341" t="n"/>
      <c r="P1" s="341" t="n"/>
    </row>
    <row r="2" ht="15" customFormat="1" customHeight="1" s="2" thickBot="1">
      <c r="A2" s="341" t="n"/>
      <c r="B2" s="341" t="n"/>
      <c r="C2" s="341" t="n"/>
      <c r="D2" s="341" t="n"/>
      <c r="E2" s="341" t="n"/>
      <c r="F2" s="341" t="n"/>
      <c r="G2" s="341" t="n"/>
      <c r="H2" s="341" t="n"/>
      <c r="I2" s="341" t="n"/>
      <c r="J2" s="341" t="n"/>
      <c r="K2" s="341" t="n"/>
      <c r="L2" s="341" t="n"/>
      <c r="M2" s="341" t="n"/>
      <c r="N2" s="341" t="n"/>
      <c r="O2" s="341" t="n"/>
      <c r="P2" s="341" t="n"/>
    </row>
    <row r="3" ht="17" customHeight="1" thickBot="1">
      <c r="A3" s="687">
        <f>'Input sheet'!B4</f>
        <v/>
      </c>
      <c r="B3" s="620" t="n"/>
      <c r="C3" s="620" t="n"/>
      <c r="D3" s="620" t="n"/>
      <c r="E3" s="620" t="n"/>
      <c r="F3" s="620" t="n"/>
      <c r="G3" s="620" t="n"/>
      <c r="H3" s="620" t="n"/>
      <c r="I3" s="620" t="n"/>
      <c r="J3" s="620" t="n"/>
      <c r="K3" s="620" t="n"/>
      <c r="L3" s="620" t="n"/>
      <c r="M3" s="620" t="n"/>
      <c r="N3" s="621" t="n"/>
      <c r="O3" s="688">
        <f>'Input sheet'!B3</f>
        <v/>
      </c>
      <c r="P3" s="621" t="n"/>
    </row>
    <row r="4" ht="15" customHeight="1" thickBot="1"/>
    <row r="5" ht="15" customHeight="1" thickBot="1">
      <c r="A5" s="537" t="inlineStr">
        <is>
          <t>Base Year and Comparison</t>
        </is>
      </c>
      <c r="B5" s="620" t="n"/>
      <c r="C5" s="689" t="n"/>
      <c r="E5" s="690" t="inlineStr">
        <is>
          <t>Growth Story</t>
        </is>
      </c>
      <c r="F5" s="631" t="n"/>
      <c r="H5" s="690" t="inlineStr">
        <is>
          <t>Profitability Story</t>
        </is>
      </c>
      <c r="I5" s="631" t="n"/>
      <c r="K5" s="690" t="inlineStr">
        <is>
          <t>Growth Efficiency Story</t>
        </is>
      </c>
      <c r="L5" s="631" t="n"/>
    </row>
    <row r="6" ht="14" customHeight="1">
      <c r="B6" s="426" t="inlineStr">
        <is>
          <t>Company</t>
        </is>
      </c>
      <c r="C6" s="426" t="inlineStr">
        <is>
          <t>Industry</t>
        </is>
      </c>
      <c r="E6" s="536">
        <f>'Stories to Numbers'!G9</f>
        <v/>
      </c>
      <c r="F6" s="657" t="n"/>
      <c r="H6" s="536">
        <f>'Stories to Numbers'!G10</f>
        <v/>
      </c>
      <c r="I6" s="657" t="n"/>
      <c r="K6" s="536">
        <f>'Stories to Numbers'!G12</f>
        <v/>
      </c>
      <c r="L6" s="657" t="n"/>
      <c r="O6" s="551" t="inlineStr">
        <is>
          <t>Terminal Value</t>
        </is>
      </c>
      <c r="P6" s="627" t="n"/>
    </row>
    <row r="7">
      <c r="A7" s="404" t="inlineStr">
        <is>
          <t>Revenue Growth</t>
        </is>
      </c>
      <c r="B7" s="406">
        <f>'Input sheet'!I25</f>
        <v/>
      </c>
      <c r="C7" s="406">
        <f>'Input sheet'!K25</f>
        <v/>
      </c>
      <c r="E7" s="659" t="n"/>
      <c r="F7" s="660" t="n"/>
      <c r="H7" s="659" t="n"/>
      <c r="I7" s="660" t="n"/>
      <c r="K7" s="659" t="n"/>
      <c r="L7" s="660" t="n"/>
      <c r="O7" s="404" t="inlineStr">
        <is>
          <t>Growth Rate</t>
        </is>
      </c>
      <c r="P7" s="406">
        <f>O16</f>
        <v/>
      </c>
    </row>
    <row r="8">
      <c r="A8" s="404" t="inlineStr">
        <is>
          <t>Revenue</t>
        </is>
      </c>
      <c r="B8" s="691">
        <f>'Valuation output'!B3</f>
        <v/>
      </c>
      <c r="E8" s="659" t="n"/>
      <c r="F8" s="660" t="n"/>
      <c r="H8" s="659" t="n"/>
      <c r="I8" s="660" t="n"/>
      <c r="K8" s="659" t="n"/>
      <c r="L8" s="660" t="n"/>
      <c r="O8" s="404" t="inlineStr">
        <is>
          <t>Cost of capital</t>
        </is>
      </c>
      <c r="P8" s="406">
        <f>'Valuation output'!M12</f>
        <v/>
      </c>
    </row>
    <row r="9">
      <c r="A9" s="404" t="inlineStr">
        <is>
          <t>Operating Margin</t>
        </is>
      </c>
      <c r="B9" s="406">
        <f>'Valuation output'!B4</f>
        <v/>
      </c>
      <c r="C9" s="406">
        <f>'Input sheet'!K26</f>
        <v/>
      </c>
      <c r="E9" s="659" t="n"/>
      <c r="F9" s="660" t="n"/>
      <c r="H9" s="659" t="n"/>
      <c r="I9" s="660" t="n"/>
      <c r="K9" s="659" t="n"/>
      <c r="L9" s="660" t="n"/>
      <c r="O9" s="404" t="inlineStr">
        <is>
          <t>Return on capital</t>
        </is>
      </c>
      <c r="P9" s="406">
        <f>'Valuation output'!M40</f>
        <v/>
      </c>
    </row>
    <row r="10">
      <c r="A10" s="404" t="inlineStr">
        <is>
          <t>Operating Income</t>
        </is>
      </c>
      <c r="B10" s="691">
        <f>'Valuation output'!B5</f>
        <v/>
      </c>
      <c r="E10" s="659" t="n"/>
      <c r="F10" s="660" t="n"/>
      <c r="H10" s="659" t="n"/>
      <c r="I10" s="660" t="n"/>
      <c r="K10" s="659" t="n"/>
      <c r="L10" s="660" t="n"/>
      <c r="O10" s="404" t="inlineStr">
        <is>
          <t>Reinvestment Rate</t>
        </is>
      </c>
      <c r="P10" s="406">
        <f>P7/P9</f>
        <v/>
      </c>
    </row>
    <row r="11">
      <c r="A11" s="404" t="inlineStr">
        <is>
          <t>EBIT (1-t)</t>
        </is>
      </c>
      <c r="B11" s="691">
        <f>'Valuation output'!B7</f>
        <v/>
      </c>
      <c r="E11" s="659" t="n"/>
      <c r="F11" s="660" t="n"/>
      <c r="H11" s="659" t="n"/>
      <c r="I11" s="660" t="n"/>
      <c r="K11" s="659" t="n"/>
      <c r="L11" s="660" t="n"/>
      <c r="P11" s="413" t="n"/>
    </row>
    <row r="12">
      <c r="E12" s="661" t="n"/>
      <c r="F12" s="663" t="n"/>
      <c r="H12" s="661" t="n"/>
      <c r="I12" s="663" t="n"/>
      <c r="K12" s="661" t="n"/>
      <c r="L12" s="663" t="n"/>
      <c r="P12" s="413" t="n"/>
    </row>
    <row r="13">
      <c r="P13" s="413" t="n"/>
    </row>
    <row r="14" ht="15" customHeight="1" thickBot="1"/>
    <row r="15">
      <c r="A15" s="692">
        <f>'Valuation output'!A19</f>
        <v/>
      </c>
      <c r="B15" s="693">
        <f>'Valuation output'!B19</f>
        <v/>
      </c>
      <c r="D15" s="404" t="n"/>
      <c r="E15" s="407">
        <f>'Valuation output'!C1</f>
        <v/>
      </c>
      <c r="F15" s="407">
        <f>'Valuation output'!D1</f>
        <v/>
      </c>
      <c r="G15" s="407">
        <f>'Valuation output'!E1</f>
        <v/>
      </c>
      <c r="H15" s="407">
        <f>'Valuation output'!F1</f>
        <v/>
      </c>
      <c r="I15" s="407">
        <f>'Valuation output'!G1</f>
        <v/>
      </c>
      <c r="J15" s="407">
        <f>'Valuation output'!H1</f>
        <v/>
      </c>
      <c r="K15" s="407">
        <f>'Valuation output'!I1</f>
        <v/>
      </c>
      <c r="L15" s="407">
        <f>'Valuation output'!J1</f>
        <v/>
      </c>
      <c r="M15" s="407">
        <f>'Valuation output'!K1</f>
        <v/>
      </c>
      <c r="N15" s="407">
        <f>'Valuation output'!L1</f>
        <v/>
      </c>
      <c r="O15" s="408">
        <f>'Valuation output'!M1</f>
        <v/>
      </c>
      <c r="P15" s="409" t="n"/>
    </row>
    <row r="16">
      <c r="A16" s="419">
        <f>'Valuation output'!A20</f>
        <v/>
      </c>
      <c r="B16" s="694">
        <f>'Valuation output'!B20</f>
        <v/>
      </c>
      <c r="D16" s="404" t="inlineStr">
        <is>
          <t>Revenue Growth</t>
        </is>
      </c>
      <c r="E16" s="406">
        <f>'Valuation output'!C2</f>
        <v/>
      </c>
      <c r="F16" s="406">
        <f>'Valuation output'!D2</f>
        <v/>
      </c>
      <c r="G16" s="406">
        <f>'Valuation output'!E2</f>
        <v/>
      </c>
      <c r="H16" s="406">
        <f>'Valuation output'!F2</f>
        <v/>
      </c>
      <c r="I16" s="406">
        <f>'Valuation output'!G2</f>
        <v/>
      </c>
      <c r="J16" s="406">
        <f>'Valuation output'!H2</f>
        <v/>
      </c>
      <c r="K16" s="406">
        <f>'Valuation output'!I2</f>
        <v/>
      </c>
      <c r="L16" s="406">
        <f>'Valuation output'!J2</f>
        <v/>
      </c>
      <c r="M16" s="406">
        <f>'Valuation output'!K2</f>
        <v/>
      </c>
      <c r="N16" s="406">
        <f>'Valuation output'!L2</f>
        <v/>
      </c>
      <c r="O16" s="410">
        <f>'Valuation output'!M2</f>
        <v/>
      </c>
    </row>
    <row r="17">
      <c r="A17" s="421">
        <f>'Valuation output'!A22</f>
        <v/>
      </c>
      <c r="B17" s="422">
        <f>'Valuation output'!B22</f>
        <v/>
      </c>
      <c r="D17" s="404" t="inlineStr">
        <is>
          <t>Revenue</t>
        </is>
      </c>
      <c r="E17" s="695">
        <f>'Valuation output'!C3</f>
        <v/>
      </c>
      <c r="F17" s="695">
        <f>'Valuation output'!D3</f>
        <v/>
      </c>
      <c r="G17" s="695">
        <f>'Valuation output'!E3</f>
        <v/>
      </c>
      <c r="H17" s="695">
        <f>'Valuation output'!F3</f>
        <v/>
      </c>
      <c r="I17" s="695">
        <f>'Valuation output'!G3</f>
        <v/>
      </c>
      <c r="J17" s="695">
        <f>'Valuation output'!H3</f>
        <v/>
      </c>
      <c r="K17" s="695">
        <f>'Valuation output'!I3</f>
        <v/>
      </c>
      <c r="L17" s="695">
        <f>'Valuation output'!J3</f>
        <v/>
      </c>
      <c r="M17" s="695">
        <f>'Valuation output'!K3</f>
        <v/>
      </c>
      <c r="N17" s="695">
        <f>'Valuation output'!L3</f>
        <v/>
      </c>
      <c r="O17" s="696">
        <f>'Valuation output'!M3</f>
        <v/>
      </c>
    </row>
    <row r="18">
      <c r="A18" s="419">
        <f>'Valuation output'!A24</f>
        <v/>
      </c>
      <c r="B18" s="697">
        <f>'Valuation output'!B24</f>
        <v/>
      </c>
      <c r="D18" s="404" t="inlineStr">
        <is>
          <t>Operating Margin</t>
        </is>
      </c>
      <c r="E18" s="406">
        <f>'Valuation output'!C4</f>
        <v/>
      </c>
      <c r="F18" s="406">
        <f>'Valuation output'!D4</f>
        <v/>
      </c>
      <c r="G18" s="406">
        <f>'Valuation output'!E4</f>
        <v/>
      </c>
      <c r="H18" s="406">
        <f>'Valuation output'!F4</f>
        <v/>
      </c>
      <c r="I18" s="406">
        <f>'Valuation output'!G4</f>
        <v/>
      </c>
      <c r="J18" s="406">
        <f>'Valuation output'!H4</f>
        <v/>
      </c>
      <c r="K18" s="406">
        <f>'Valuation output'!I4</f>
        <v/>
      </c>
      <c r="L18" s="406">
        <f>'Valuation output'!J4</f>
        <v/>
      </c>
      <c r="M18" s="406">
        <f>'Valuation output'!K4</f>
        <v/>
      </c>
      <c r="N18" s="406">
        <f>'Valuation output'!L4</f>
        <v/>
      </c>
      <c r="O18" s="410">
        <f>'Valuation output'!M4</f>
        <v/>
      </c>
    </row>
    <row r="19">
      <c r="A19" s="419">
        <f>'Valuation output'!A25</f>
        <v/>
      </c>
      <c r="B19" s="697">
        <f>'Valuation output'!B25</f>
        <v/>
      </c>
      <c r="D19" s="404" t="inlineStr">
        <is>
          <t>Operating Income</t>
        </is>
      </c>
      <c r="E19" s="695">
        <f>'Valuation output'!C5</f>
        <v/>
      </c>
      <c r="F19" s="695">
        <f>'Valuation output'!D5</f>
        <v/>
      </c>
      <c r="G19" s="695">
        <f>'Valuation output'!E5</f>
        <v/>
      </c>
      <c r="H19" s="695">
        <f>'Valuation output'!F5</f>
        <v/>
      </c>
      <c r="I19" s="695">
        <f>'Valuation output'!G5</f>
        <v/>
      </c>
      <c r="J19" s="695">
        <f>'Valuation output'!H5</f>
        <v/>
      </c>
      <c r="K19" s="695">
        <f>'Valuation output'!I5</f>
        <v/>
      </c>
      <c r="L19" s="695">
        <f>'Valuation output'!J5</f>
        <v/>
      </c>
      <c r="M19" s="695">
        <f>'Valuation output'!K5</f>
        <v/>
      </c>
      <c r="N19" s="695">
        <f>'Valuation output'!L5</f>
        <v/>
      </c>
      <c r="O19" s="696">
        <f>'Valuation output'!M5</f>
        <v/>
      </c>
    </row>
    <row r="20">
      <c r="A20" s="419">
        <f>'Valuation output'!A26</f>
        <v/>
      </c>
      <c r="B20" s="697">
        <f>'Valuation output'!B26</f>
        <v/>
      </c>
      <c r="D20" s="404" t="inlineStr">
        <is>
          <t>EBIT (1-t)</t>
        </is>
      </c>
      <c r="E20" s="695">
        <f>'Valuation output'!C7</f>
        <v/>
      </c>
      <c r="F20" s="695">
        <f>'Valuation output'!D7</f>
        <v/>
      </c>
      <c r="G20" s="695">
        <f>'Valuation output'!E7</f>
        <v/>
      </c>
      <c r="H20" s="695">
        <f>'Valuation output'!F7</f>
        <v/>
      </c>
      <c r="I20" s="695">
        <f>'Valuation output'!G7</f>
        <v/>
      </c>
      <c r="J20" s="695">
        <f>'Valuation output'!H7</f>
        <v/>
      </c>
      <c r="K20" s="695">
        <f>'Valuation output'!I7</f>
        <v/>
      </c>
      <c r="L20" s="695">
        <f>'Valuation output'!J7</f>
        <v/>
      </c>
      <c r="M20" s="695">
        <f>'Valuation output'!K7</f>
        <v/>
      </c>
      <c r="N20" s="695">
        <f>'Valuation output'!L7</f>
        <v/>
      </c>
      <c r="O20" s="696">
        <f>'Valuation output'!M7</f>
        <v/>
      </c>
    </row>
    <row r="21">
      <c r="A21" s="419">
        <f>'Valuation output'!A27</f>
        <v/>
      </c>
      <c r="B21" s="697">
        <f>'Valuation output'!B27</f>
        <v/>
      </c>
      <c r="D21" s="404" t="inlineStr">
        <is>
          <t>Reinvestment</t>
        </is>
      </c>
      <c r="E21" s="695">
        <f>'Valuation output'!C8</f>
        <v/>
      </c>
      <c r="F21" s="695">
        <f>'Valuation output'!D8</f>
        <v/>
      </c>
      <c r="G21" s="695">
        <f>'Valuation output'!E8</f>
        <v/>
      </c>
      <c r="H21" s="695">
        <f>'Valuation output'!F8</f>
        <v/>
      </c>
      <c r="I21" s="695">
        <f>'Valuation output'!G8</f>
        <v/>
      </c>
      <c r="J21" s="695">
        <f>'Valuation output'!H8</f>
        <v/>
      </c>
      <c r="K21" s="695">
        <f>'Valuation output'!I8</f>
        <v/>
      </c>
      <c r="L21" s="695">
        <f>'Valuation output'!J8</f>
        <v/>
      </c>
      <c r="M21" s="695">
        <f>'Valuation output'!K8</f>
        <v/>
      </c>
      <c r="N21" s="695">
        <f>'Valuation output'!L8</f>
        <v/>
      </c>
      <c r="O21" s="696">
        <f>'Valuation output'!M8</f>
        <v/>
      </c>
    </row>
    <row r="22">
      <c r="A22" s="419">
        <f>'Valuation output'!A28</f>
        <v/>
      </c>
      <c r="B22" s="697">
        <f>'Valuation output'!B28</f>
        <v/>
      </c>
      <c r="D22" s="405" t="inlineStr">
        <is>
          <t>FCFF</t>
        </is>
      </c>
      <c r="E22" s="696">
        <f>'Valuation output'!C9</f>
        <v/>
      </c>
      <c r="F22" s="696">
        <f>'Valuation output'!D9</f>
        <v/>
      </c>
      <c r="G22" s="696">
        <f>'Valuation output'!E9</f>
        <v/>
      </c>
      <c r="H22" s="696">
        <f>'Valuation output'!F9</f>
        <v/>
      </c>
      <c r="I22" s="696">
        <f>'Valuation output'!G9</f>
        <v/>
      </c>
      <c r="J22" s="696">
        <f>'Valuation output'!H9</f>
        <v/>
      </c>
      <c r="K22" s="696">
        <f>'Valuation output'!I9</f>
        <v/>
      </c>
      <c r="L22" s="696">
        <f>'Valuation output'!J9</f>
        <v/>
      </c>
      <c r="M22" s="696">
        <f>'Valuation output'!K9</f>
        <v/>
      </c>
      <c r="N22" s="696">
        <f>'Valuation output'!L9</f>
        <v/>
      </c>
      <c r="O22" s="696">
        <f>'Valuation output'!M9</f>
        <v/>
      </c>
    </row>
    <row r="23">
      <c r="A23" s="419">
        <f>'Valuation output'!A29</f>
        <v/>
      </c>
      <c r="B23" s="697">
        <f>'Valuation output'!B29</f>
        <v/>
      </c>
      <c r="N23" s="698">
        <f>'Valuation output'!B18</f>
        <v/>
      </c>
    </row>
    <row r="24">
      <c r="A24" s="419">
        <f>'Valuation output'!A30</f>
        <v/>
      </c>
      <c r="B24" s="697">
        <f>'Valuation output'!B30</f>
        <v/>
      </c>
    </row>
    <row r="25">
      <c r="A25" s="419">
        <f>'Valuation output'!A31</f>
        <v/>
      </c>
      <c r="B25" s="697">
        <f>'Valuation output'!B31</f>
        <v/>
      </c>
      <c r="D25" s="405" t="inlineStr">
        <is>
          <t>Cost of Capital</t>
        </is>
      </c>
      <c r="E25" s="410">
        <f>'Valuation output'!C12</f>
        <v/>
      </c>
      <c r="F25" s="410">
        <f>'Valuation output'!D12</f>
        <v/>
      </c>
      <c r="G25" s="410">
        <f>'Valuation output'!E12</f>
        <v/>
      </c>
      <c r="H25" s="410">
        <f>'Valuation output'!F12</f>
        <v/>
      </c>
      <c r="I25" s="410">
        <f>'Valuation output'!G12</f>
        <v/>
      </c>
      <c r="J25" s="410">
        <f>'Valuation output'!H12</f>
        <v/>
      </c>
      <c r="K25" s="410">
        <f>'Valuation output'!I12</f>
        <v/>
      </c>
      <c r="L25" s="410">
        <f>'Valuation output'!J12</f>
        <v/>
      </c>
      <c r="M25" s="410">
        <f>'Valuation output'!K12</f>
        <v/>
      </c>
      <c r="N25" s="410">
        <f>'Valuation output'!L12</f>
        <v/>
      </c>
      <c r="O25" s="413" t="n"/>
    </row>
    <row r="26">
      <c r="A26" s="424">
        <f>'Valuation output'!A32</f>
        <v/>
      </c>
      <c r="B26" s="425">
        <f>'Valuation output'!B32</f>
        <v/>
      </c>
      <c r="D26" s="404" t="inlineStr">
        <is>
          <t>Cumulated WACC</t>
        </is>
      </c>
      <c r="E26" s="699">
        <f>'Valuation output'!C13</f>
        <v/>
      </c>
      <c r="F26" s="699">
        <f>'Valuation output'!D13</f>
        <v/>
      </c>
      <c r="G26" s="699">
        <f>'Valuation output'!E13</f>
        <v/>
      </c>
      <c r="H26" s="699">
        <f>'Valuation output'!F13</f>
        <v/>
      </c>
      <c r="I26" s="699">
        <f>'Valuation output'!G13</f>
        <v/>
      </c>
      <c r="J26" s="699">
        <f>'Valuation output'!H13</f>
        <v/>
      </c>
      <c r="K26" s="699">
        <f>'Valuation output'!I13</f>
        <v/>
      </c>
      <c r="L26" s="699">
        <f>'Valuation output'!J13</f>
        <v/>
      </c>
      <c r="M26" s="699">
        <f>'Valuation output'!K13</f>
        <v/>
      </c>
      <c r="N26" s="699">
        <f>'Valuation output'!L13</f>
        <v/>
      </c>
    </row>
    <row r="27">
      <c r="A27" s="428">
        <f>'Valuation output'!A33</f>
        <v/>
      </c>
      <c r="B27" s="700">
        <f>'Valuation output'!B33</f>
        <v/>
      </c>
    </row>
    <row r="28">
      <c r="A28" s="432" t="n"/>
      <c r="B28" s="701" t="n"/>
      <c r="D28" s="405" t="inlineStr">
        <is>
          <t>Sales to Capital</t>
        </is>
      </c>
      <c r="E28" s="427">
        <f>'Valuation output'!C38</f>
        <v/>
      </c>
      <c r="F28" s="427">
        <f>'Valuation output'!D38</f>
        <v/>
      </c>
      <c r="G28" s="427">
        <f>'Valuation output'!E38</f>
        <v/>
      </c>
      <c r="H28" s="427">
        <f>'Valuation output'!F38</f>
        <v/>
      </c>
      <c r="I28" s="427">
        <f>'Valuation output'!G38</f>
        <v/>
      </c>
      <c r="J28" s="427">
        <f>'Valuation output'!H38</f>
        <v/>
      </c>
      <c r="K28" s="427">
        <f>'Valuation output'!I38</f>
        <v/>
      </c>
      <c r="L28" s="427">
        <f>'Valuation output'!J38</f>
        <v/>
      </c>
      <c r="M28" s="427">
        <f>'Valuation output'!K38</f>
        <v/>
      </c>
      <c r="N28" s="427">
        <f>'Valuation output'!L38</f>
        <v/>
      </c>
    </row>
    <row r="29">
      <c r="A29" s="405" t="inlineStr">
        <is>
          <t>Price per share</t>
        </is>
      </c>
      <c r="B29" s="702">
        <f>'Stories to Numbers'!G39</f>
        <v/>
      </c>
      <c r="D29" s="404" t="inlineStr">
        <is>
          <t>ROIC</t>
        </is>
      </c>
      <c r="E29" s="406">
        <f>'Valuation output'!C40</f>
        <v/>
      </c>
      <c r="F29" s="406">
        <f>'Valuation output'!D40</f>
        <v/>
      </c>
      <c r="G29" s="406">
        <f>'Valuation output'!E40</f>
        <v/>
      </c>
      <c r="H29" s="406">
        <f>'Valuation output'!F40</f>
        <v/>
      </c>
      <c r="I29" s="406">
        <f>'Valuation output'!G40</f>
        <v/>
      </c>
      <c r="J29" s="406">
        <f>'Valuation output'!H40</f>
        <v/>
      </c>
      <c r="K29" s="406">
        <f>'Valuation output'!I40</f>
        <v/>
      </c>
      <c r="L29" s="406">
        <f>'Valuation output'!J40</f>
        <v/>
      </c>
      <c r="M29" s="406">
        <f>'Valuation output'!K40</f>
        <v/>
      </c>
      <c r="N29" s="406">
        <f>'Valuation output'!L40</f>
        <v/>
      </c>
      <c r="O29" s="406">
        <f>'Valuation output'!M40</f>
        <v/>
      </c>
    </row>
    <row r="30">
      <c r="A30" s="405" t="inlineStr">
        <is>
          <t>% Under or Over Valued</t>
        </is>
      </c>
      <c r="B30" s="431">
        <f>B29/B27-1</f>
        <v/>
      </c>
    </row>
    <row r="31" ht="15" customHeight="1" thickBot="1"/>
    <row r="32">
      <c r="D32" s="690" t="inlineStr">
        <is>
          <t>Risk Story</t>
        </is>
      </c>
      <c r="E32" s="631" t="n"/>
      <c r="G32" s="690" t="inlineStr">
        <is>
          <t>Competitive Advantages</t>
        </is>
      </c>
      <c r="H32" s="630" t="n"/>
      <c r="I32" s="631" t="n"/>
    </row>
    <row r="33" ht="14" customHeight="1">
      <c r="D33" s="536">
        <f>'Stories to Numbers'!G14</f>
        <v/>
      </c>
      <c r="E33" s="657" t="n"/>
      <c r="G33" s="536">
        <f>'Stories to Numbers'!G13</f>
        <v/>
      </c>
      <c r="H33" s="656" t="n"/>
      <c r="I33" s="657" t="n"/>
    </row>
    <row r="34">
      <c r="D34" s="659" t="n"/>
      <c r="E34" s="660" t="n"/>
      <c r="G34" s="659" t="n"/>
      <c r="I34" s="660" t="n"/>
    </row>
    <row r="35">
      <c r="D35" s="659" t="n"/>
      <c r="E35" s="660" t="n"/>
      <c r="G35" s="659" t="n"/>
      <c r="I35" s="660" t="n"/>
    </row>
    <row r="36">
      <c r="D36" s="659" t="n"/>
      <c r="E36" s="660" t="n"/>
      <c r="G36" s="659" t="n"/>
      <c r="I36" s="660" t="n"/>
    </row>
    <row r="37">
      <c r="D37" s="659" t="n"/>
      <c r="E37" s="660" t="n"/>
      <c r="G37" s="659" t="n"/>
      <c r="I37" s="660" t="n"/>
    </row>
    <row r="38">
      <c r="D38" s="661" t="n"/>
      <c r="E38" s="663" t="n"/>
      <c r="G38" s="661" t="n"/>
      <c r="H38" s="662" t="n"/>
      <c r="I38" s="663" t="n"/>
    </row>
  </sheetData>
  <mergeCells count="14">
    <mergeCell ref="O3:P3"/>
    <mergeCell ref="E6:F12"/>
    <mergeCell ref="H6:I12"/>
    <mergeCell ref="K6:L12"/>
    <mergeCell ref="A3:N3"/>
    <mergeCell ref="O6:P6"/>
    <mergeCell ref="E5:F5"/>
    <mergeCell ref="H5:I5"/>
    <mergeCell ref="K5:L5"/>
    <mergeCell ref="D32:E32"/>
    <mergeCell ref="G32:I32"/>
    <mergeCell ref="D33:E38"/>
    <mergeCell ref="G33:I38"/>
    <mergeCell ref="A5:C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B37" sqref="B37:C37"/>
    </sheetView>
  </sheetViews>
  <sheetFormatPr baseColWidth="10" defaultRowHeight="16"/>
  <cols>
    <col width="61.6640625" customWidth="1" style="4" min="1" max="1"/>
    <col width="17.6640625" customWidth="1" style="267" min="2" max="2"/>
    <col width="21" customWidth="1" style="267" min="3" max="3"/>
    <col width="20.5" customWidth="1" style="267" min="4" max="4"/>
    <col width="17.6640625" customWidth="1" style="267" min="5" max="5"/>
    <col width="11.1640625" customWidth="1" style="4" min="6" max="6"/>
    <col width="72" customWidth="1" style="4" min="7" max="7"/>
    <col width="10.83203125" customWidth="1" style="4" min="8" max="16384"/>
  </cols>
  <sheetData>
    <row r="1">
      <c r="A1" s="276" t="inlineStr">
        <is>
          <t>Step 1: Check revenue growth rate</t>
        </is>
      </c>
      <c r="B1" s="277" t="n"/>
      <c r="C1" s="278" t="n"/>
      <c r="D1" s="555" t="inlineStr">
        <is>
          <t>Your forecasts</t>
        </is>
      </c>
      <c r="E1" s="631" t="n"/>
      <c r="G1" s="268" t="inlineStr">
        <is>
          <t>Questions to ask</t>
        </is>
      </c>
    </row>
    <row r="2" ht="34" customHeight="1">
      <c r="A2" s="279" t="n"/>
      <c r="B2" s="280" t="inlineStr">
        <is>
          <t>Industry Average</t>
        </is>
      </c>
      <c r="C2" s="280" t="inlineStr">
        <is>
          <t>Most Recent year</t>
        </is>
      </c>
      <c r="D2" s="280" t="inlineStr">
        <is>
          <t>Next year</t>
        </is>
      </c>
      <c r="E2" s="281" t="inlineStr">
        <is>
          <t>Years 2-5</t>
        </is>
      </c>
      <c r="G2" s="296" t="inlineStr">
        <is>
          <t>1. If you are forecasting a revenue growth rate &gt; industry average, is your company small?</t>
        </is>
      </c>
    </row>
    <row r="3" ht="34" customHeight="1">
      <c r="A3" s="274" t="inlineStr">
        <is>
          <t>Annual Revenue Growth Rate</t>
        </is>
      </c>
      <c r="B3" s="271">
        <f>'Input sheet'!J25</f>
        <v/>
      </c>
      <c r="C3" s="271">
        <f>'Input sheet'!I25</f>
        <v/>
      </c>
      <c r="D3" s="271">
        <f>'Valuation output'!C2</f>
        <v/>
      </c>
      <c r="E3" s="271">
        <f>'Valuation output'!D2</f>
        <v/>
      </c>
      <c r="G3" s="296" t="inlineStr">
        <is>
          <t>2. If your forecasted revenue growth rate is very different from your company's most recent year of growth, what is the reason?</t>
        </is>
      </c>
    </row>
    <row r="4" ht="17" customHeight="1" thickBot="1"/>
    <row r="5">
      <c r="A5" s="276" t="inlineStr">
        <is>
          <t>Step 2: Check dollar revenues</t>
        </is>
      </c>
      <c r="B5" s="278" t="n"/>
      <c r="C5" s="278" t="n"/>
      <c r="D5" s="278" t="n"/>
      <c r="E5" s="282" t="n"/>
    </row>
    <row r="6">
      <c r="A6" s="279" t="n"/>
      <c r="B6" s="267" t="inlineStr">
        <is>
          <t>Most Recent year</t>
        </is>
      </c>
      <c r="C6" s="267" t="inlineStr">
        <is>
          <t>Next year</t>
        </is>
      </c>
      <c r="D6" s="267" t="inlineStr">
        <is>
          <t>Year 5</t>
        </is>
      </c>
      <c r="E6" s="283" t="inlineStr">
        <is>
          <t>Year 10</t>
        </is>
      </c>
      <c r="G6" s="274" t="inlineStr">
        <is>
          <t>1. How big is the total market today?</t>
        </is>
      </c>
    </row>
    <row r="7">
      <c r="A7" s="293" t="inlineStr">
        <is>
          <t>Revenues</t>
        </is>
      </c>
      <c r="B7" s="703">
        <f>'Valuation output'!B3</f>
        <v/>
      </c>
      <c r="C7" s="703">
        <f>'Valuation output'!C3</f>
        <v/>
      </c>
      <c r="D7" s="703">
        <f>'Valuation output'!G3</f>
        <v/>
      </c>
      <c r="E7" s="703">
        <f>'Valuation output'!L3</f>
        <v/>
      </c>
      <c r="G7" s="274" t="inlineStr">
        <is>
          <t>2. How much revenues do the biggest companies in that market make today?</t>
        </is>
      </c>
    </row>
    <row r="8">
      <c r="G8" s="274" t="inlineStr">
        <is>
          <t>3. How much growth is there in the total market?</t>
        </is>
      </c>
    </row>
    <row r="9">
      <c r="G9" s="274" t="inlineStr">
        <is>
          <t>4. What type of market share are you forecasting for your company in year 10?</t>
        </is>
      </c>
    </row>
    <row r="10" ht="17" customHeight="1" thickBot="1"/>
    <row r="11">
      <c r="A11" s="284" t="inlineStr">
        <is>
          <t>Step 3: Check your margins</t>
        </is>
      </c>
      <c r="B11" s="285" t="inlineStr">
        <is>
          <t>Most Recent year</t>
        </is>
      </c>
      <c r="C11" s="285" t="inlineStr">
        <is>
          <t>Next year</t>
        </is>
      </c>
      <c r="D11" s="285" t="inlineStr">
        <is>
          <t>Year 5</t>
        </is>
      </c>
      <c r="E11" s="286" t="inlineStr">
        <is>
          <t>Year 10</t>
        </is>
      </c>
      <c r="G11" s="274" t="inlineStr">
        <is>
          <t>1. What are the margins of the industry that the company is in?</t>
        </is>
      </c>
    </row>
    <row r="12" ht="34" customHeight="1">
      <c r="A12" s="293" t="inlineStr">
        <is>
          <t>Operating Margin</t>
        </is>
      </c>
      <c r="B12" s="295">
        <f>'Valuation output'!B4</f>
        <v/>
      </c>
      <c r="C12" s="295">
        <f>'Valuation output'!C4</f>
        <v/>
      </c>
      <c r="D12" s="295">
        <f>'Valuation output'!G4</f>
        <v/>
      </c>
      <c r="E12" s="295">
        <f>'Valuation output'!M4</f>
        <v/>
      </c>
      <c r="G12" s="296" t="inlineStr">
        <is>
          <t>2. What are the unit economics of the business? (How much does it cost you to make the extra unit that you sell?</t>
        </is>
      </c>
    </row>
    <row r="13">
      <c r="G13" s="274" t="inlineStr">
        <is>
          <t>3. What does the competition in this business look like?</t>
        </is>
      </c>
    </row>
    <row r="14" ht="17" customHeight="1" thickBot="1"/>
    <row r="15">
      <c r="A15" s="284" t="inlineStr">
        <is>
          <t>Step 4: Check how much you are reinvesting</t>
        </is>
      </c>
      <c r="B15" s="278" t="n"/>
      <c r="C15" s="278" t="n"/>
      <c r="D15" s="278" t="n"/>
      <c r="E15" s="282" t="n"/>
    </row>
    <row r="16">
      <c r="A16" s="279" t="n"/>
      <c r="B16" s="280" t="inlineStr">
        <is>
          <t>Most Recent year</t>
        </is>
      </c>
      <c r="C16" s="280" t="inlineStr">
        <is>
          <t>Next year</t>
        </is>
      </c>
      <c r="D16" s="280" t="inlineStr">
        <is>
          <t>Year 5</t>
        </is>
      </c>
      <c r="E16" s="281" t="inlineStr">
        <is>
          <t>Year 10</t>
        </is>
      </c>
      <c r="G16" s="274" t="inlineStr">
        <is>
          <t>1. is the growth that you are forecasting bounce-back growth or new growth?</t>
        </is>
      </c>
    </row>
    <row r="17">
      <c r="A17" s="293" t="inlineStr">
        <is>
          <t>Sales to Capital</t>
        </is>
      </c>
      <c r="B17" s="434">
        <f>'Input sheet'!I27</f>
        <v/>
      </c>
      <c r="C17" s="434">
        <f>'Valuation output'!C38</f>
        <v/>
      </c>
      <c r="D17" s="434">
        <f>'Valuation output'!G38</f>
        <v/>
      </c>
      <c r="E17" s="434">
        <f>'Valuation output'!L38</f>
        <v/>
      </c>
      <c r="G17" s="274" t="inlineStr">
        <is>
          <t>2. How much excess capacity do you have to service near term growth?</t>
        </is>
      </c>
    </row>
    <row r="18">
      <c r="A18" s="279" t="n"/>
      <c r="E18" s="283" t="n"/>
      <c r="G18" s="274" t="inlineStr">
        <is>
          <t>3. Does investment efficiency in this business change as companies get bigger?</t>
        </is>
      </c>
    </row>
    <row r="19">
      <c r="A19" s="287" t="inlineStr">
        <is>
          <t>Reinvestment effect on cash flows</t>
        </is>
      </c>
      <c r="E19" s="283" t="n"/>
    </row>
    <row r="20">
      <c r="A20" s="279" t="n"/>
      <c r="B20" s="275" t="inlineStr">
        <is>
          <t>$ Value</t>
        </is>
      </c>
      <c r="C20" s="275" t="inlineStr">
        <is>
          <t>As % of value</t>
        </is>
      </c>
      <c r="E20" s="283" t="n"/>
    </row>
    <row r="21">
      <c r="A21" s="279" t="inlineStr">
        <is>
          <t>PV of after-tax operating income for next 10 yearas</t>
        </is>
      </c>
      <c r="B21" s="704">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
      </c>
      <c r="C21" s="270">
        <f>B21/B21</f>
        <v/>
      </c>
      <c r="E21" s="283" t="n"/>
      <c r="G21" s="274" t="inlineStr">
        <is>
          <t>1. Is your reinvestment consitent with your revenue growth forecast?</t>
        </is>
      </c>
    </row>
    <row r="22">
      <c r="A22" s="288" t="inlineStr">
        <is>
          <t>Value effect of reinvestment for next 10 years</t>
        </is>
      </c>
      <c r="B22" s="705">
        <f>B21-B23</f>
        <v/>
      </c>
      <c r="C22" s="273">
        <f>B22/B21</f>
        <v/>
      </c>
      <c r="E22" s="283" t="n"/>
      <c r="G22" s="274" t="inlineStr">
        <is>
          <t>2. Are you comfortable with your return on capital in year 10?</t>
        </is>
      </c>
    </row>
    <row r="23">
      <c r="A23" s="279" t="inlineStr">
        <is>
          <t>PV of FCFF for next ten years</t>
        </is>
      </c>
      <c r="B23" s="704">
        <f>'Valuation output'!B20</f>
        <v/>
      </c>
      <c r="C23" s="271">
        <f>C21-C22</f>
        <v/>
      </c>
      <c r="E23" s="283" t="n"/>
    </row>
    <row r="24">
      <c r="A24" s="279" t="n"/>
      <c r="E24" s="283" t="n"/>
    </row>
    <row r="25">
      <c r="A25" s="287" t="inlineStr">
        <is>
          <t>Return on capital effects</t>
        </is>
      </c>
      <c r="E25" s="283" t="n"/>
    </row>
    <row r="26">
      <c r="A26" s="279" t="n"/>
      <c r="B26" s="280" t="inlineStr">
        <is>
          <t>Most recent year</t>
        </is>
      </c>
      <c r="C26" s="280" t="inlineStr">
        <is>
          <t>Marginal (1-10)</t>
        </is>
      </c>
      <c r="D26" s="280" t="inlineStr">
        <is>
          <t>ROC in year 10</t>
        </is>
      </c>
      <c r="E26" s="281" t="inlineStr">
        <is>
          <t>Stable ROC</t>
        </is>
      </c>
    </row>
    <row r="27" ht="17" customHeight="1" thickBot="1">
      <c r="A27" s="289" t="inlineStr">
        <is>
          <t>Return on capital</t>
        </is>
      </c>
      <c r="B27" s="290">
        <f>'Valuation output'!B40</f>
        <v/>
      </c>
      <c r="C27" s="291">
        <f>('Valuation output'!L7-'Valuation output'!B7)/('Valuation output'!L39-'Valuation output'!B39)</f>
        <v/>
      </c>
      <c r="D27" s="290">
        <f>'Valuation output'!L40</f>
        <v/>
      </c>
      <c r="E27" s="292">
        <f>'Valuation output'!M40</f>
        <v/>
      </c>
    </row>
    <row r="28" ht="17" customHeight="1" thickBot="1"/>
    <row r="29">
      <c r="A29" s="284" t="inlineStr">
        <is>
          <t>Step 5: Risk Metrics</t>
        </is>
      </c>
      <c r="B29" s="278" t="n"/>
      <c r="C29" s="278" t="n"/>
      <c r="D29" s="278" t="n"/>
      <c r="E29" s="282" t="n"/>
    </row>
    <row r="30">
      <c r="A30" s="279" t="n"/>
      <c r="B30" s="280" t="inlineStr">
        <is>
          <t>Industry Average</t>
        </is>
      </c>
      <c r="C30" s="280" t="inlineStr">
        <is>
          <t>Compounded</t>
        </is>
      </c>
      <c r="D30" s="280" t="inlineStr">
        <is>
          <t>Year 1-5</t>
        </is>
      </c>
      <c r="E30" s="281" t="inlineStr">
        <is>
          <t>Stable Growth</t>
        </is>
      </c>
      <c r="G30" s="274" t="inlineStr">
        <is>
          <t>1. How does your cost of capital compare to the industry average?</t>
        </is>
      </c>
    </row>
    <row r="31">
      <c r="A31" s="297" t="inlineStr">
        <is>
          <t>Cost of capital</t>
        </is>
      </c>
      <c r="B31" s="273">
        <f>'Input sheet'!J31</f>
        <v/>
      </c>
      <c r="C31" s="273">
        <f>(1/'Valuation output'!L13)^(1/10)-1</f>
        <v/>
      </c>
      <c r="D31" s="273">
        <f>'Valuation output'!C12</f>
        <v/>
      </c>
      <c r="E31" s="298">
        <f>'Valuation output'!M12</f>
        <v/>
      </c>
      <c r="G31" s="274" t="inlineStr">
        <is>
          <t>2. What is happenign to your cost of capital over time? Why?</t>
        </is>
      </c>
    </row>
    <row r="32">
      <c r="A32" s="279" t="n"/>
      <c r="E32" s="283" t="n"/>
      <c r="G32" s="274" t="inlineStr">
        <is>
          <t>3. Is your failure rate consistent with your company's characteristics?</t>
        </is>
      </c>
    </row>
    <row r="33" ht="17" customHeight="1" thickBot="1">
      <c r="A33" s="289" t="inlineStr">
        <is>
          <t>Failure Rate</t>
        </is>
      </c>
      <c r="B33" s="290">
        <f>'Valuation output'!B22</f>
        <v/>
      </c>
      <c r="C33" s="299" t="n"/>
      <c r="D33" s="299" t="n"/>
      <c r="E33" s="300" t="n"/>
    </row>
    <row r="34" ht="17" customHeight="1" thickBot="1"/>
    <row r="35">
      <c r="A35" s="284" t="inlineStr">
        <is>
          <t>Step 6: Price versus Value</t>
        </is>
      </c>
      <c r="B35" s="278" t="n"/>
      <c r="C35" s="278" t="n"/>
      <c r="D35" s="278" t="n"/>
      <c r="E35" s="282" t="n"/>
    </row>
    <row r="36" ht="14" customFormat="1" customHeight="1" s="76" thickBot="1">
      <c r="A36" s="312" t="inlineStr">
        <is>
          <t>Your calculated value as a percent of current price</t>
        </is>
      </c>
      <c r="B36" s="301">
        <f>'Valuation output'!B33/'Valuation output'!B34</f>
        <v/>
      </c>
      <c r="C36" s="313" t="n"/>
      <c r="D36" s="313" t="n"/>
      <c r="E36" s="314" t="n"/>
    </row>
    <row r="37" ht="17" customFormat="1" customHeight="1" s="76" thickBot="1">
      <c r="A37" s="78" t="n"/>
      <c r="B37" s="706">
        <f>IF(B36="NA","Value is negative. See below",IF(B36&gt;2,"Value seems high. See below",IF(B36&lt;0.5,"Value seems low. See below"," ")))</f>
        <v/>
      </c>
      <c r="C37" s="621" t="n"/>
      <c r="D37" s="313" t="n"/>
      <c r="E37" s="314" t="n"/>
      <c r="F37" s="6" t="n"/>
    </row>
    <row r="38" ht="42" customFormat="1" customHeight="1" s="6">
      <c r="A38" s="319" t="inlineStr">
        <is>
          <t>Inputs</t>
        </is>
      </c>
      <c r="B38" s="302" t="inlineStr">
        <is>
          <t>If calculated value is negative or looks too low</t>
        </is>
      </c>
      <c r="C38" s="303" t="inlineStr">
        <is>
          <t>If calculated value looks too high</t>
        </is>
      </c>
      <c r="D38" s="315" t="n"/>
      <c r="E38" s="316" t="n"/>
    </row>
    <row r="39" ht="35" customFormat="1" customHeight="1" s="6">
      <c r="A39" s="304" t="inlineStr">
        <is>
          <t>Revenue growth rate (input cell B25, B27)</t>
        </is>
      </c>
      <c r="B39" s="536" t="inlineStr">
        <is>
          <t>Increase revenue growth rate</t>
        </is>
      </c>
      <c r="C39" s="306" t="inlineStr">
        <is>
          <t>Decrease revenue growth rate</t>
        </is>
      </c>
      <c r="D39" s="315" t="n"/>
      <c r="E39" s="316" t="n"/>
    </row>
    <row r="40" ht="42" customFormat="1" customHeight="1" s="6">
      <c r="A40" s="304" t="inlineStr">
        <is>
          <t>Operating margin (B26, B28)</t>
        </is>
      </c>
      <c r="B40" s="307" t="inlineStr">
        <is>
          <t>Increase the target pre-tax operating margin</t>
        </is>
      </c>
      <c r="C40" s="306" t="inlineStr">
        <is>
          <t>Decrease the target pre-tax operating margin</t>
        </is>
      </c>
      <c r="D40" s="315" t="inlineStr">
        <is>
          <t xml:space="preserve"> </t>
        </is>
      </c>
      <c r="E40" s="316" t="n"/>
    </row>
    <row r="41" ht="34" customFormat="1" customHeight="1" s="6">
      <c r="A41" s="308" t="inlineStr">
        <is>
          <t>Sales to Capital (B30-B32)</t>
        </is>
      </c>
      <c r="B41" s="536" t="inlineStr">
        <is>
          <t>Increase the sales/capital ratio</t>
        </is>
      </c>
      <c r="C41" s="306" t="inlineStr">
        <is>
          <t>Decrease the sales/capital ratio</t>
        </is>
      </c>
      <c r="D41" s="315" t="inlineStr">
        <is>
          <t xml:space="preserve"> </t>
        </is>
      </c>
      <c r="E41" s="316" t="n"/>
    </row>
    <row r="42" ht="48" customFormat="1" customHeight="1" s="6" thickBot="1">
      <c r="A42" s="309" t="inlineStr">
        <is>
          <t>Return on capital in perpetuity (B48, B49)</t>
        </is>
      </c>
      <c r="B42" s="310" t="inlineStr">
        <is>
          <t>Increase relative to your cost of capital</t>
        </is>
      </c>
      <c r="C42" s="311" t="inlineStr">
        <is>
          <t>If higher than your cost of capital, lower towards your cost of capital</t>
        </is>
      </c>
      <c r="D42" s="317" t="inlineStr">
        <is>
          <t>T</t>
        </is>
      </c>
      <c r="E42" s="318" t="n"/>
      <c r="F42" s="4" t="n"/>
    </row>
  </sheetData>
  <mergeCells count="2">
    <mergeCell ref="B37:C37"/>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10" defaultRowHeight="16"/>
  <cols>
    <col width="44.33203125" customWidth="1" style="203" min="1" max="1"/>
    <col width="28.1640625" customWidth="1" style="203" min="2" max="2"/>
    <col width="30.6640625" customWidth="1" style="203" min="3" max="3"/>
    <col width="24.83203125" customWidth="1" style="203" min="4" max="4"/>
    <col width="44.33203125" customWidth="1" style="132" min="5" max="7"/>
  </cols>
  <sheetData>
    <row r="1" ht="19" customHeight="1">
      <c r="A1" s="556"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 customHeight="1">
      <c r="A2" s="679" t="n"/>
    </row>
    <row r="3" ht="18" customFormat="1" customHeight="1" s="339">
      <c r="A3" s="260" t="inlineStr">
        <is>
          <t>Valuing Options or Warrants</t>
        </is>
      </c>
      <c r="B3" s="260" t="n"/>
      <c r="C3" s="260" t="n"/>
      <c r="D3" s="260" t="n"/>
      <c r="E3" s="260" t="n"/>
      <c r="F3" s="260" t="n"/>
      <c r="G3" s="260" t="n"/>
    </row>
    <row r="4" customFormat="1" s="340">
      <c r="A4" s="203" t="inlineStr">
        <is>
          <t>Enter the current stock price =</t>
        </is>
      </c>
      <c r="B4" s="707">
        <f>'Input sheet'!B22</f>
        <v/>
      </c>
      <c r="C4" s="203" t="n"/>
      <c r="D4" s="203" t="n"/>
      <c r="E4" s="203" t="n"/>
    </row>
    <row r="5" customFormat="1" s="340">
      <c r="A5" s="203" t="inlineStr">
        <is>
          <t>Enter the strike price on the option =</t>
        </is>
      </c>
      <c r="B5" s="708">
        <f>'Input sheet'!B39</f>
        <v/>
      </c>
      <c r="C5" s="203" t="n"/>
      <c r="D5" s="203" t="n"/>
      <c r="E5" s="203" t="n"/>
    </row>
    <row r="6" customFormat="1" s="340">
      <c r="A6" s="203" t="inlineStr">
        <is>
          <t>Enter the expiration of the option =</t>
        </is>
      </c>
      <c r="B6" s="322">
        <f>'Input sheet'!B40</f>
        <v/>
      </c>
      <c r="C6" s="203" t="n"/>
      <c r="D6" s="203" t="n"/>
      <c r="E6" s="203" t="n"/>
    </row>
    <row r="7" customFormat="1" s="340">
      <c r="A7" s="203" t="inlineStr">
        <is>
          <t>Enter the standard deviation in stock prices =</t>
        </is>
      </c>
      <c r="B7" s="323">
        <f>'Input sheet'!B41</f>
        <v/>
      </c>
      <c r="C7" s="203" t="inlineStr">
        <is>
          <t>(volatility)</t>
        </is>
      </c>
      <c r="D7" s="203" t="n"/>
      <c r="E7" s="203" t="n"/>
    </row>
    <row r="8" customFormat="1" s="340">
      <c r="A8" s="203" t="inlineStr">
        <is>
          <t>Enter the annualized dividend yield on stock =</t>
        </is>
      </c>
      <c r="B8" s="324" t="n">
        <v>0</v>
      </c>
      <c r="C8" s="203" t="n"/>
      <c r="D8" s="203" t="n"/>
      <c r="E8" s="203" t="n"/>
    </row>
    <row r="9" customFormat="1" s="340">
      <c r="A9" s="203" t="inlineStr">
        <is>
          <t>Enter the treasury bond rate =</t>
        </is>
      </c>
      <c r="B9" s="324">
        <f>'Input sheet'!B34</f>
        <v/>
      </c>
      <c r="C9" s="203" t="n"/>
      <c r="D9" s="203" t="n"/>
      <c r="E9" s="203" t="n"/>
    </row>
    <row r="10" customFormat="1" s="340">
      <c r="A10" s="203" t="inlineStr">
        <is>
          <t>Enter the number of warrants (options) outstanding =</t>
        </is>
      </c>
      <c r="B10" s="322">
        <f>'Input sheet'!B38</f>
        <v/>
      </c>
      <c r="C10" s="203" t="n"/>
      <c r="D10" s="203" t="n"/>
      <c r="E10" s="203" t="n"/>
    </row>
    <row r="11" customFormat="1" s="340">
      <c r="A11" s="203" t="inlineStr">
        <is>
          <t>Enter the number of shares outstanding =</t>
        </is>
      </c>
      <c r="B11" s="325">
        <f>'Input sheet'!B21</f>
        <v/>
      </c>
      <c r="C11" s="203" t="n"/>
      <c r="D11" s="203" t="n"/>
      <c r="E11" s="203" t="n"/>
    </row>
    <row r="12" customFormat="1" s="340">
      <c r="A12" s="203" t="n"/>
      <c r="B12" s="203" t="n"/>
      <c r="C12" s="203" t="n"/>
      <c r="D12" s="203" t="n"/>
      <c r="E12" s="203" t="n"/>
      <c r="F12" s="203" t="n"/>
      <c r="G12" s="203" t="n"/>
    </row>
    <row r="13" customFormat="1" s="341">
      <c r="A13" s="326" t="inlineStr">
        <is>
          <t>Do not input any numbers below this line</t>
        </is>
      </c>
      <c r="B13" s="327" t="n"/>
      <c r="C13" s="327" t="n"/>
      <c r="D13" s="327" t="n"/>
      <c r="E13" s="327" t="n"/>
      <c r="F13" s="327" t="n"/>
      <c r="G13" s="327" t="n"/>
    </row>
    <row r="14" customFormat="1" s="342">
      <c r="A14" s="260" t="inlineStr">
        <is>
          <t>Dilution-adjusted Black-Scholes</t>
        </is>
      </c>
      <c r="B14" s="203" t="n"/>
      <c r="C14" s="203" t="n"/>
      <c r="D14" s="203" t="n"/>
      <c r="E14" s="203" t="n"/>
      <c r="F14" s="203" t="n"/>
      <c r="G14" s="203" t="n"/>
    </row>
    <row r="15" customFormat="1" s="342">
      <c r="A15" s="328" t="inlineStr">
        <is>
          <t>Stock Price=</t>
        </is>
      </c>
      <c r="B15" s="709">
        <f>B4</f>
        <v/>
      </c>
      <c r="C15" s="328" t="inlineStr">
        <is>
          <t># Warrants issued=</t>
        </is>
      </c>
      <c r="D15" s="331">
        <f>B10</f>
        <v/>
      </c>
      <c r="E15" s="343" t="n"/>
    </row>
    <row r="16" customFormat="1" s="342">
      <c r="A16" s="328" t="inlineStr">
        <is>
          <t>Strike Price=</t>
        </is>
      </c>
      <c r="B16" s="338">
        <f>B5</f>
        <v/>
      </c>
      <c r="C16" s="328" t="inlineStr">
        <is>
          <t># Shares outstanding=</t>
        </is>
      </c>
      <c r="D16" s="332">
        <f>B11</f>
        <v/>
      </c>
      <c r="E16" s="343" t="n"/>
    </row>
    <row r="17" customFormat="1" s="342">
      <c r="A17" s="328" t="inlineStr">
        <is>
          <t>Adjusted S =</t>
        </is>
      </c>
      <c r="B17" s="709">
        <f>(B15*D16+B28*D15)/(D16+D15)</f>
        <v/>
      </c>
      <c r="C17" s="328" t="inlineStr">
        <is>
          <t>T.Bond rate=</t>
        </is>
      </c>
      <c r="D17" s="333">
        <f>B9</f>
        <v/>
      </c>
      <c r="E17" s="203" t="n"/>
    </row>
    <row r="18" customFormat="1" s="342">
      <c r="A18" s="328" t="inlineStr">
        <is>
          <t>Adjusted K =</t>
        </is>
      </c>
      <c r="B18" s="338">
        <f>B16</f>
        <v/>
      </c>
      <c r="C18" s="328" t="inlineStr">
        <is>
          <t>Variance=</t>
        </is>
      </c>
      <c r="D18" s="710">
        <f>B7^2</f>
        <v/>
      </c>
      <c r="E18" s="203" t="n"/>
    </row>
    <row r="19" customFormat="1" s="342">
      <c r="A19" s="328" t="inlineStr">
        <is>
          <t>Expiration (in years) =</t>
        </is>
      </c>
      <c r="B19" s="338">
        <f>B6</f>
        <v/>
      </c>
      <c r="C19" s="328" t="inlineStr">
        <is>
          <t>Annualized dividend yield=</t>
        </is>
      </c>
      <c r="D19" s="333">
        <f>B8</f>
        <v/>
      </c>
      <c r="E19" s="203" t="n"/>
    </row>
    <row r="20" customFormat="1" s="342">
      <c r="A20" s="203" t="n"/>
      <c r="B20" s="203" t="n"/>
      <c r="C20" s="328" t="inlineStr">
        <is>
          <t>Div. Adj. interest rate=</t>
        </is>
      </c>
      <c r="D20" s="335">
        <f>D17-D19</f>
        <v/>
      </c>
      <c r="E20" s="203" t="n"/>
    </row>
    <row r="21" customFormat="1" s="342">
      <c r="A21" s="203" t="n"/>
      <c r="B21" s="203" t="n"/>
      <c r="C21" s="203" t="n"/>
      <c r="D21" s="203" t="n"/>
      <c r="E21" s="203" t="n"/>
      <c r="F21" s="203" t="n"/>
      <c r="G21" s="203" t="n"/>
    </row>
    <row r="22" customFormat="1" s="342">
      <c r="A22" s="203" t="inlineStr">
        <is>
          <t xml:space="preserve">d1 = </t>
        </is>
      </c>
      <c r="B22" s="711">
        <f>(LN(B17/B18)+(D20+(D18/2))*B19)/(((D18)^(0.5))*(B19^0.5))</f>
        <v/>
      </c>
      <c r="C22" s="203" t="n"/>
      <c r="D22" s="203" t="n"/>
      <c r="E22" s="203" t="n"/>
      <c r="F22" s="203" t="n"/>
      <c r="G22" s="203" t="n"/>
    </row>
    <row r="23" customFormat="1" s="342">
      <c r="A23" s="203" t="inlineStr">
        <is>
          <t>N (d1) =</t>
        </is>
      </c>
      <c r="B23" s="711">
        <f>NORMSDIST(B22)</f>
        <v/>
      </c>
      <c r="C23" s="203" t="n"/>
      <c r="D23" s="203" t="n"/>
      <c r="E23" s="203" t="n"/>
      <c r="F23" s="203" t="n"/>
      <c r="G23" s="203" t="n"/>
    </row>
    <row r="24" customFormat="1" s="342">
      <c r="A24" s="203" t="n"/>
      <c r="B24" s="336" t="n"/>
      <c r="C24" s="203" t="n"/>
      <c r="D24" s="203" t="n"/>
      <c r="E24" s="203" t="n"/>
      <c r="F24" s="203" t="n"/>
      <c r="G24" s="203" t="n"/>
    </row>
    <row r="25" ht="15.75" customFormat="1" customHeight="1" s="342">
      <c r="A25" s="203" t="inlineStr">
        <is>
          <t xml:space="preserve">d2 = </t>
        </is>
      </c>
      <c r="B25" s="711">
        <f>B22-((D18^0.5)*(B19^(0.5)))</f>
        <v/>
      </c>
      <c r="C25" s="203" t="n"/>
      <c r="D25" s="203" t="n"/>
      <c r="E25" s="203" t="n"/>
      <c r="F25" s="203" t="n"/>
      <c r="G25" s="203" t="n"/>
    </row>
    <row r="26" customFormat="1" s="342">
      <c r="A26" s="203" t="inlineStr">
        <is>
          <t>N (d2) =</t>
        </is>
      </c>
      <c r="B26" s="711">
        <f>NORMSDIST(B25)</f>
        <v/>
      </c>
      <c r="C26" s="203" t="n"/>
      <c r="D26" s="203" t="n"/>
      <c r="E26" s="203" t="n"/>
      <c r="F26" s="203" t="n"/>
      <c r="G26" s="203" t="n"/>
    </row>
    <row r="27" ht="17" customFormat="1" customHeight="1" s="340" thickBot="1">
      <c r="A27" s="203" t="n"/>
      <c r="B27" s="203" t="n"/>
      <c r="C27" s="203" t="n"/>
      <c r="D27" s="203" t="n"/>
      <c r="E27" s="203" t="n"/>
      <c r="F27" s="203" t="n"/>
      <c r="G27" s="203" t="n"/>
    </row>
    <row r="28" ht="17" customFormat="1" customHeight="1" s="342" thickBot="1">
      <c r="A28" s="203" t="inlineStr">
        <is>
          <t xml:space="preserve">Value per option = </t>
        </is>
      </c>
      <c r="B28" s="712">
        <f>((EXP((0-D19)*B19))*B17*B23-B18*(EXP((0-D17)*B19))*B26)</f>
        <v/>
      </c>
      <c r="C28" s="203" t="n"/>
      <c r="D28" s="203" t="n"/>
      <c r="E28" s="203" t="n"/>
      <c r="F28" s="713" t="n"/>
    </row>
    <row r="29" ht="17" customFormat="1" customHeight="1" s="342" thickBot="1">
      <c r="A29" s="203" t="inlineStr">
        <is>
          <t>Value of all options outstanding =</t>
        </is>
      </c>
      <c r="B29" s="714">
        <f>B28*B10</f>
        <v/>
      </c>
      <c r="C29" s="203" t="n"/>
      <c r="D29" s="203" t="n"/>
      <c r="E29" s="203"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60"/>
  <sheetViews>
    <sheetView zoomScaleNormal="100" workbookViewId="0">
      <selection activeCell="F23" sqref="F23"/>
    </sheetView>
  </sheetViews>
  <sheetFormatPr baseColWidth="10" defaultRowHeight="16"/>
  <cols>
    <col width="11.1640625" bestFit="1" customWidth="1" style="203" min="1" max="4"/>
    <col width="10.83203125" customWidth="1" style="203" min="5" max="5"/>
    <col width="12.83203125" bestFit="1" customWidth="1" style="203" min="6" max="6"/>
    <col width="10.83203125" customWidth="1" style="203" min="7" max="7"/>
    <col width="11.1640625" bestFit="1" customWidth="1" style="203" min="8" max="8"/>
    <col width="10.83203125" customWidth="1" style="203" min="9" max="10"/>
    <col width="11.1640625" bestFit="1" customWidth="1" style="203" min="11" max="20"/>
  </cols>
  <sheetData>
    <row r="1">
      <c r="A1" s="715" t="inlineStr">
        <is>
          <t>If you have negative operating income, this spreadsheet will offer you a D rating. Do not use that rating as your cost of debt for a going concern. Insread give your company a low, but going concern rating like BB and use that cost of debt.</t>
        </is>
      </c>
      <c r="B1" s="630" t="n"/>
      <c r="C1" s="630" t="n"/>
      <c r="D1" s="630" t="n"/>
      <c r="E1" s="630" t="n"/>
      <c r="F1" s="630" t="n"/>
      <c r="G1" s="630" t="n"/>
      <c r="H1" s="630" t="n"/>
      <c r="I1" s="630" t="n"/>
      <c r="J1" s="630" t="n"/>
      <c r="K1" s="630" t="n"/>
      <c r="L1" s="631" t="n"/>
    </row>
    <row r="2" ht="21" customHeight="1" thickBot="1">
      <c r="A2" s="716" t="n"/>
      <c r="B2" s="717" t="n"/>
      <c r="C2" s="717" t="n"/>
      <c r="D2" s="717" t="n"/>
      <c r="E2" s="717" t="n"/>
      <c r="F2" s="717" t="n"/>
      <c r="G2" s="717" t="n"/>
      <c r="H2" s="717" t="n"/>
      <c r="I2" s="717" t="n"/>
      <c r="J2" s="717" t="n"/>
      <c r="K2" s="717" t="n"/>
      <c r="L2" s="718" t="n"/>
    </row>
    <row r="4">
      <c r="A4" s="260" t="inlineStr">
        <is>
          <t>Inputs for synthetic rating estimation</t>
        </is>
      </c>
    </row>
    <row r="5">
      <c r="A5" s="260" t="inlineStr">
        <is>
          <t>Please read the special cases worksheet (see below) before you use this spreadsheet.</t>
        </is>
      </c>
    </row>
    <row r="6" ht="17" customFormat="1" customHeight="1" s="73" thickBot="1">
      <c r="A6" s="326" t="inlineStr">
        <is>
          <t>Before you use this spreadsheet, make sure that the iteration box (under calculation options in excel) is checked.</t>
        </is>
      </c>
      <c r="B6" s="327" t="n"/>
      <c r="C6" s="327" t="n"/>
      <c r="D6" s="327" t="n"/>
      <c r="E6" s="327" t="n"/>
      <c r="F6" s="327" t="n"/>
      <c r="G6" s="327" t="n"/>
      <c r="H6" s="327" t="n"/>
      <c r="I6" s="327" t="n"/>
      <c r="J6" s="327" t="n"/>
      <c r="K6" s="327" t="n"/>
      <c r="L6" s="327" t="n"/>
      <c r="M6" s="327" t="n"/>
      <c r="N6" s="327" t="n"/>
      <c r="O6" s="327" t="n"/>
      <c r="P6" s="327" t="n"/>
      <c r="Q6" s="327" t="n"/>
      <c r="R6" s="327" t="n"/>
      <c r="S6" s="327" t="n"/>
      <c r="T6" s="327" t="n"/>
    </row>
    <row r="7" ht="17" customFormat="1" customHeight="1" s="74" thickBot="1">
      <c r="A7" s="203" t="inlineStr">
        <is>
          <t>Enter the type of firm =</t>
        </is>
      </c>
      <c r="B7" s="203" t="n"/>
      <c r="C7" s="456">
        <f>'Cost of capital worksheet'!B36</f>
        <v/>
      </c>
      <c r="D7" s="203" t="n"/>
      <c r="E7" s="203" t="n"/>
      <c r="F7" s="203" t="n"/>
      <c r="G7" s="203" t="n"/>
      <c r="H7" s="203" t="n"/>
      <c r="I7" s="203" t="n"/>
      <c r="J7" s="203" t="n"/>
      <c r="K7" s="203" t="n"/>
      <c r="L7" s="203" t="n"/>
      <c r="M7" s="203" t="n"/>
      <c r="N7" s="203" t="n"/>
      <c r="O7" s="203" t="n"/>
      <c r="P7" s="203" t="n"/>
      <c r="Q7" s="203" t="n"/>
      <c r="R7" s="203" t="n"/>
      <c r="S7" s="203" t="n"/>
      <c r="T7" s="203" t="n"/>
    </row>
    <row r="8" ht="17" customFormat="1" customHeight="1" s="74" thickBot="1">
      <c r="A8" s="203" t="inlineStr">
        <is>
          <t>Enter current Earnings before interest and taxes (EBIT) =</t>
        </is>
      </c>
      <c r="B8" s="203" t="n"/>
      <c r="C8" s="203" t="n"/>
      <c r="D8" s="203" t="n"/>
      <c r="E8" s="203" t="n"/>
      <c r="F8" s="719">
        <f>IF('Input sheet'!B17="Yes",'Input sheet'!B12+'Operating lease converter'!F32,'Input sheet'!B12)</f>
        <v/>
      </c>
      <c r="G8" s="203" t="inlineStr">
        <is>
          <t>(Add back only long term interest expense for financial firms)</t>
        </is>
      </c>
      <c r="H8" s="203" t="n"/>
      <c r="I8" s="203" t="n"/>
      <c r="J8" s="203" t="n"/>
      <c r="K8" s="203" t="n"/>
      <c r="L8" s="203" t="n"/>
      <c r="M8" s="203" t="n"/>
      <c r="N8" s="203" t="n"/>
      <c r="O8" s="203" t="n"/>
      <c r="P8" s="203" t="n"/>
      <c r="Q8" s="203" t="n"/>
      <c r="R8" s="203" t="n"/>
      <c r="S8" s="203" t="n"/>
      <c r="T8" s="203" t="n"/>
    </row>
    <row r="9" ht="17" customFormat="1" customHeight="1" s="74" thickBot="1">
      <c r="A9" s="203" t="inlineStr">
        <is>
          <t>Enter current interest expenses =</t>
        </is>
      </c>
      <c r="B9" s="203" t="n"/>
      <c r="C9" s="203" t="n"/>
      <c r="D9" s="203" t="n"/>
      <c r="E9" s="203" t="n"/>
      <c r="F9" s="720">
        <f>IF('Input sheet'!B17="Yes",'Cost of capital worksheet'!B31+'Operating lease converter'!C28*'Operating lease converter'!C15,'Cost of capital worksheet'!B31)</f>
        <v/>
      </c>
      <c r="G9" s="203" t="inlineStr">
        <is>
          <t>(Use only long term interest expense for financial firms)</t>
        </is>
      </c>
      <c r="H9" s="203" t="n"/>
      <c r="I9" s="203" t="n"/>
      <c r="J9" s="203" t="n"/>
      <c r="K9" s="203" t="n"/>
      <c r="L9" s="203" t="n"/>
      <c r="M9" s="203" t="n"/>
      <c r="N9" s="203" t="n"/>
      <c r="O9" s="203" t="n"/>
      <c r="P9" s="203" t="n"/>
      <c r="Q9" s="203" t="n"/>
      <c r="R9" s="203" t="n"/>
      <c r="S9" s="203" t="n"/>
      <c r="T9" s="203" t="n"/>
    </row>
    <row r="10" ht="17" customFormat="1" customHeight="1" s="74" thickBot="1">
      <c r="A10" s="203" t="inlineStr">
        <is>
          <t>Enter long term risk free rate  =</t>
        </is>
      </c>
      <c r="B10" s="203" t="n"/>
      <c r="C10" s="203" t="n"/>
      <c r="D10" s="203" t="n"/>
      <c r="E10" s="203" t="n"/>
      <c r="F10" s="353">
        <f>'Input sheet'!B34</f>
        <v/>
      </c>
      <c r="G10" s="203" t="n"/>
      <c r="H10" s="203" t="n"/>
      <c r="I10" s="203" t="n"/>
      <c r="J10" s="203" t="n"/>
      <c r="K10" s="203" t="n"/>
      <c r="L10" s="203" t="n"/>
      <c r="M10" s="203" t="n"/>
      <c r="N10" s="203" t="n"/>
      <c r="O10" s="203" t="n"/>
      <c r="P10" s="203" t="n"/>
      <c r="Q10" s="203" t="n"/>
      <c r="R10" s="203" t="n"/>
      <c r="S10" s="203" t="n"/>
      <c r="T10" s="203" t="n"/>
    </row>
    <row r="11" ht="17" customFormat="1" customHeight="1" s="74" thickBot="1">
      <c r="A11" s="260" t="inlineStr">
        <is>
          <t>Output</t>
        </is>
      </c>
      <c r="B11" s="203" t="n"/>
      <c r="C11" s="203" t="n"/>
      <c r="D11" s="203" t="n"/>
      <c r="E11" s="203" t="n"/>
      <c r="F11" s="203" t="n"/>
      <c r="G11" s="203" t="n"/>
      <c r="H11" s="203" t="n"/>
      <c r="I11" s="203" t="n"/>
      <c r="J11" s="203" t="n"/>
      <c r="K11" s="203" t="n"/>
      <c r="L11" s="203" t="n"/>
      <c r="M11" s="203" t="n"/>
      <c r="N11" s="203" t="n"/>
      <c r="O11" s="203" t="n"/>
      <c r="P11" s="203" t="n"/>
      <c r="Q11" s="203" t="n"/>
      <c r="R11" s="203" t="n"/>
      <c r="S11" s="203" t="n"/>
      <c r="T11" s="203" t="n"/>
    </row>
    <row r="12" ht="17" customFormat="1" customHeight="1" s="74" thickBot="1">
      <c r="A12" s="203" t="inlineStr">
        <is>
          <t>Interest  coverage ratio =</t>
        </is>
      </c>
      <c r="B12" s="203" t="n"/>
      <c r="C12" s="203" t="n"/>
      <c r="D12" s="354">
        <f>IF(F9=0,1000000,IF(F8&lt;0,-100000,F8/F9))</f>
        <v/>
      </c>
      <c r="E12" s="203" t="n"/>
      <c r="F12" s="203" t="n"/>
      <c r="G12" s="203" t="n"/>
      <c r="H12" s="203" t="n"/>
      <c r="I12" s="203" t="n"/>
      <c r="J12" s="203" t="n"/>
      <c r="K12" s="203" t="n"/>
      <c r="L12" s="203" t="n"/>
      <c r="M12" s="203" t="n"/>
      <c r="N12" s="203" t="n"/>
      <c r="O12" s="203" t="n"/>
      <c r="P12" s="203" t="n"/>
      <c r="Q12" s="203" t="n"/>
      <c r="R12" s="203" t="n"/>
      <c r="S12" s="203" t="n"/>
      <c r="T12" s="203" t="n"/>
    </row>
    <row r="13" ht="17" customFormat="1" customHeight="1" s="74" thickBot="1">
      <c r="A13" s="203" t="inlineStr">
        <is>
          <t>Estimated Bond Rating =</t>
        </is>
      </c>
      <c r="B13" s="203" t="n"/>
      <c r="C13" s="203" t="n"/>
      <c r="D13" s="355">
        <f>IF(C7=1,VLOOKUP(D12,A22:D36,3),(IF(C7=2,VLOOKUP(D12,A41:D55,3),VLOOKUP(D12,F22:I36,3))))</f>
        <v/>
      </c>
      <c r="E13" s="203" t="n"/>
      <c r="F13" s="327" t="inlineStr">
        <is>
          <t>Note: If you get REF! All over the place, set the operating lease commitment question in cell F5</t>
        </is>
      </c>
      <c r="G13" s="203" t="n"/>
      <c r="H13" s="203" t="n"/>
      <c r="I13" s="203" t="n"/>
      <c r="J13" s="203" t="n"/>
      <c r="K13" s="203" t="n"/>
      <c r="L13" s="203" t="n"/>
      <c r="M13" s="203" t="n"/>
      <c r="N13" s="203" t="n"/>
      <c r="O13" s="203" t="n"/>
      <c r="P13" s="203" t="n"/>
      <c r="Q13" s="203" t="n"/>
      <c r="R13" s="203" t="n"/>
      <c r="S13" s="203" t="n"/>
      <c r="T13" s="203" t="n"/>
    </row>
    <row r="14" ht="17" customFormat="1" customHeight="1" s="74" thickBot="1">
      <c r="A14" s="203" t="inlineStr">
        <is>
          <t>Estimated Company Default Spread =</t>
        </is>
      </c>
      <c r="B14" s="203" t="n"/>
      <c r="C14" s="203" t="n"/>
      <c r="D14" s="356">
        <f>IF(C7=1,VLOOKUP(D12,A22:D36,4),(IF(C7=2,VLOOKUP(D12,A41:D55,4),VLOOKUP(D12,F22:I36,4))))</f>
        <v/>
      </c>
      <c r="E14" s="203" t="n"/>
      <c r="F14" s="327" t="inlineStr">
        <is>
          <t>to No, and then reset it to Yes. It should work.</t>
        </is>
      </c>
      <c r="G14" s="203" t="n"/>
      <c r="H14" s="203" t="n"/>
      <c r="I14" s="203" t="n"/>
      <c r="J14" s="203" t="n"/>
      <c r="K14" s="203" t="n"/>
      <c r="L14" s="203" t="n"/>
      <c r="M14" s="203" t="n"/>
      <c r="N14" s="203" t="n"/>
      <c r="O14" s="203" t="n"/>
      <c r="P14" s="203" t="n"/>
      <c r="Q14" s="203" t="n"/>
      <c r="R14" s="203" t="n"/>
      <c r="S14" s="203" t="n"/>
      <c r="T14" s="203" t="n"/>
    </row>
    <row r="15" ht="17" customFormat="1" customHeight="1" s="74" thickBot="1">
      <c r="A15" s="203" t="inlineStr">
        <is>
          <t>Estimated County Default Spread (if any) =</t>
        </is>
      </c>
      <c r="B15" s="203" t="n"/>
      <c r="C15" s="203" t="n"/>
      <c r="D15" s="356">
        <f>VLOOKUP('Input sheet'!B7,'Country equity risk premiums'!A5:C195,3)</f>
        <v/>
      </c>
      <c r="E15" s="203" t="n"/>
      <c r="F15" s="327" t="n"/>
      <c r="G15" s="203" t="n"/>
      <c r="H15" s="203" t="n"/>
      <c r="I15" s="203" t="n"/>
      <c r="J15" s="203" t="n"/>
      <c r="K15" s="203" t="n"/>
      <c r="L15" s="203" t="n"/>
      <c r="M15" s="203" t="n"/>
      <c r="N15" s="203" t="n"/>
      <c r="O15" s="203" t="n"/>
      <c r="P15" s="203" t="n"/>
      <c r="Q15" s="203" t="n"/>
      <c r="R15" s="203" t="n"/>
      <c r="S15" s="203" t="n"/>
      <c r="T15" s="203" t="n"/>
    </row>
    <row r="16" ht="17" customFormat="1" customHeight="1" s="6" thickBot="1">
      <c r="A16" s="203" t="inlineStr">
        <is>
          <t>Estimated Cost of Debt =</t>
        </is>
      </c>
      <c r="B16" s="203" t="n"/>
      <c r="C16" s="203" t="n"/>
      <c r="D16" s="357">
        <f>F10+D14+D15</f>
        <v/>
      </c>
      <c r="E16" s="203" t="n"/>
      <c r="F16" s="203" t="n"/>
      <c r="G16" s="203" t="n"/>
      <c r="H16" s="203" t="n"/>
      <c r="I16" s="203" t="n"/>
      <c r="J16" s="203" t="n"/>
      <c r="K16" s="203" t="n"/>
      <c r="L16" s="203" t="n"/>
      <c r="M16" s="203" t="n"/>
      <c r="N16" s="203" t="n"/>
      <c r="O16" s="203" t="n"/>
      <c r="P16" s="203" t="n"/>
      <c r="Q16" s="203" t="n"/>
      <c r="R16" s="203" t="n"/>
      <c r="S16" s="203" t="n"/>
      <c r="T16" s="203" t="n"/>
    </row>
    <row r="17" customFormat="1" s="6">
      <c r="A17" s="203" t="n"/>
      <c r="B17" s="203" t="n"/>
      <c r="C17" s="203" t="n"/>
      <c r="D17" s="358" t="n"/>
      <c r="E17" s="203" t="n"/>
      <c r="F17" s="203" t="n"/>
      <c r="G17" s="203" t="n"/>
      <c r="H17" s="203" t="n"/>
      <c r="I17" s="203" t="n"/>
      <c r="J17" s="203" t="n"/>
      <c r="K17" s="203" t="n"/>
      <c r="L17" s="203" t="n"/>
      <c r="M17" s="203" t="n"/>
      <c r="N17" s="203" t="n"/>
      <c r="O17" s="203" t="n"/>
      <c r="P17" s="203" t="n"/>
      <c r="Q17" s="203" t="n"/>
      <c r="R17" s="203" t="n"/>
      <c r="S17" s="203" t="n"/>
      <c r="T17" s="203" t="n"/>
    </row>
    <row r="18" ht="17" customFormat="1" customHeight="1" s="9" thickBot="1">
      <c r="A18" s="327" t="inlineStr">
        <is>
          <t xml:space="preserve"> If you want to update the spreads listed below, please visit http://www.bondsonline.com</t>
        </is>
      </c>
      <c r="B18" s="327" t="n"/>
      <c r="C18" s="327" t="n"/>
      <c r="D18" s="359" t="n"/>
      <c r="E18" s="327" t="n"/>
      <c r="F18" s="327" t="n"/>
      <c r="G18" s="327" t="n"/>
      <c r="H18" s="327" t="n"/>
      <c r="I18" s="327" t="n"/>
      <c r="J18" s="327" t="n"/>
      <c r="K18" s="327" t="n"/>
      <c r="L18" s="327" t="n"/>
      <c r="M18" s="327" t="n"/>
      <c r="N18" s="327" t="n"/>
      <c r="O18" s="327" t="n"/>
      <c r="P18" s="327" t="n"/>
      <c r="Q18" s="327" t="n"/>
      <c r="R18" s="327" t="n"/>
      <c r="S18" s="327" t="n"/>
      <c r="T18" s="327" t="n"/>
    </row>
    <row r="19" ht="17" customFormat="1" customHeight="1" s="74" thickBot="1">
      <c r="A19" s="260" t="inlineStr">
        <is>
          <t>For large manufacturing firms</t>
        </is>
      </c>
      <c r="B19" s="203" t="n"/>
      <c r="C19" s="203" t="n"/>
      <c r="D19" s="203" t="n"/>
      <c r="E19" s="203" t="n"/>
      <c r="F19" s="203" t="n"/>
      <c r="G19" s="203" t="n"/>
      <c r="H19" s="203" t="n"/>
      <c r="I19" s="203" t="n"/>
      <c r="J19" s="721" t="inlineStr">
        <is>
          <t>Default Probabilities over time (1 - 10 year time horizons)</t>
        </is>
      </c>
      <c r="K19" s="620" t="n"/>
      <c r="L19" s="620" t="n"/>
      <c r="M19" s="620" t="n"/>
      <c r="N19" s="620" t="n"/>
      <c r="O19" s="620" t="n"/>
      <c r="P19" s="620" t="n"/>
      <c r="Q19" s="620" t="n"/>
      <c r="R19" s="620" t="n"/>
      <c r="S19" s="620" t="n"/>
      <c r="T19" s="621" t="n"/>
    </row>
    <row r="20" customFormat="1" s="74">
      <c r="A20" s="360" t="inlineStr">
        <is>
          <t>If interest coverage ratio is</t>
        </is>
      </c>
      <c r="B20" s="360" t="n"/>
      <c r="C20" s="361" t="n"/>
      <c r="D20" s="361" t="n"/>
      <c r="E20" s="203" t="n"/>
      <c r="F20" s="203" t="n"/>
      <c r="G20" s="203" t="n"/>
      <c r="H20" s="203" t="n"/>
      <c r="I20" s="203" t="n"/>
      <c r="J20" s="347" t="inlineStr">
        <is>
          <t>Rating</t>
        </is>
      </c>
      <c r="K20" s="348" t="n">
        <v>1</v>
      </c>
      <c r="L20" s="348" t="n">
        <v>2</v>
      </c>
      <c r="M20" s="348" t="n">
        <v>3</v>
      </c>
      <c r="N20" s="348" t="n">
        <v>4</v>
      </c>
      <c r="O20" s="348" t="n">
        <v>5</v>
      </c>
      <c r="P20" s="348" t="n">
        <v>6</v>
      </c>
      <c r="Q20" s="348" t="n">
        <v>7</v>
      </c>
      <c r="R20" s="348" t="n">
        <v>8</v>
      </c>
      <c r="S20" s="348" t="n">
        <v>9</v>
      </c>
      <c r="T20" s="348" t="n">
        <v>10</v>
      </c>
    </row>
    <row r="21" customFormat="1" s="74">
      <c r="A21" s="362" t="inlineStr">
        <is>
          <t>&gt;</t>
        </is>
      </c>
      <c r="B21" s="362" t="inlineStr">
        <is>
          <t>≤ to</t>
        </is>
      </c>
      <c r="C21" s="362" t="inlineStr">
        <is>
          <t>Rating is</t>
        </is>
      </c>
      <c r="D21" s="362" t="inlineStr">
        <is>
          <t>Spread is</t>
        </is>
      </c>
      <c r="E21" s="203" t="n"/>
      <c r="F21" s="203" t="n"/>
      <c r="G21" s="203" t="n"/>
      <c r="H21" s="203" t="n"/>
      <c r="I21" s="203" t="n"/>
      <c r="J21" s="349" t="inlineStr">
        <is>
          <t>AAA</t>
        </is>
      </c>
      <c r="K21" s="350" t="n">
        <v>0</v>
      </c>
      <c r="L21" s="350" t="n">
        <v>0.0003</v>
      </c>
      <c r="M21" s="350" t="n">
        <v>0.0013</v>
      </c>
      <c r="N21" s="350" t="n">
        <v>0.0024</v>
      </c>
      <c r="O21" s="350" t="n">
        <v>0.0035</v>
      </c>
      <c r="P21" s="350" t="n">
        <v>0.004500000000000001</v>
      </c>
      <c r="Q21" s="350" t="n">
        <v>0.0051</v>
      </c>
      <c r="R21" s="350" t="n">
        <v>0.0059</v>
      </c>
      <c r="S21" s="350" t="n">
        <v>0.0064</v>
      </c>
      <c r="T21" s="350" t="n">
        <v>0.006999999999999999</v>
      </c>
    </row>
    <row r="22" customFormat="1" s="74">
      <c r="A22" s="331" t="n">
        <v>-100000</v>
      </c>
      <c r="B22" s="331" t="n">
        <v>0.199999</v>
      </c>
      <c r="C22" s="331" t="inlineStr">
        <is>
          <t>D2/D</t>
        </is>
      </c>
      <c r="D22" s="363" t="n">
        <v>0.2</v>
      </c>
      <c r="E22" s="203" t="n"/>
      <c r="F22" s="203" t="n"/>
      <c r="G22" s="203" t="n"/>
      <c r="H22" s="203" t="n"/>
      <c r="I22" s="203" t="n"/>
      <c r="J22" s="349" t="inlineStr">
        <is>
          <t>AA</t>
        </is>
      </c>
      <c r="K22" s="350" t="n">
        <v>0.0002</v>
      </c>
      <c r="L22" s="350" t="n">
        <v>0.0005999999999999999</v>
      </c>
      <c r="M22" s="350" t="n">
        <v>0.0012</v>
      </c>
      <c r="N22" s="350" t="n">
        <v>0.0021</v>
      </c>
      <c r="O22" s="350" t="n">
        <v>0.0031</v>
      </c>
      <c r="P22" s="350" t="n">
        <v>0.0042</v>
      </c>
      <c r="Q22" s="350" t="n">
        <v>0.005</v>
      </c>
      <c r="R22" s="350" t="n">
        <v>0.0058</v>
      </c>
      <c r="S22" s="350" t="n">
        <v>0.006500000000000001</v>
      </c>
      <c r="T22" s="350" t="n">
        <v>0.0072</v>
      </c>
    </row>
    <row r="23" customFormat="1" s="74">
      <c r="A23" s="331" t="n">
        <v>0.2</v>
      </c>
      <c r="B23" s="331" t="n">
        <v>0.649999</v>
      </c>
      <c r="C23" s="331" t="inlineStr">
        <is>
          <t>C2/C</t>
        </is>
      </c>
      <c r="D23" s="363" t="n">
        <v>0.17</v>
      </c>
      <c r="E23" s="203" t="n"/>
      <c r="F23" s="331" t="n"/>
      <c r="G23" s="203" t="n"/>
      <c r="H23" s="203" t="n"/>
      <c r="I23" s="203" t="n"/>
      <c r="J23" s="349" t="inlineStr">
        <is>
          <t>A</t>
        </is>
      </c>
      <c r="K23" s="350" t="n">
        <v>0.0005</v>
      </c>
      <c r="L23" s="350" t="n">
        <v>0.0014</v>
      </c>
      <c r="M23" s="350" t="n">
        <v>0.0023</v>
      </c>
      <c r="N23" s="350" t="n">
        <v>0.0035</v>
      </c>
      <c r="O23" s="350" t="n">
        <v>0.004699999999999999</v>
      </c>
      <c r="P23" s="350" t="n">
        <v>0.0062</v>
      </c>
      <c r="Q23" s="350" t="n">
        <v>0.007900000000000001</v>
      </c>
      <c r="R23" s="350" t="n">
        <v>0.009300000000000001</v>
      </c>
      <c r="S23" s="350" t="n">
        <v>0.0108</v>
      </c>
      <c r="T23" s="350" t="n">
        <v>0.0124</v>
      </c>
    </row>
    <row r="24" customFormat="1" s="74">
      <c r="A24" s="331" t="n">
        <v>0.65</v>
      </c>
      <c r="B24" s="331" t="n">
        <v>0.799999</v>
      </c>
      <c r="C24" s="331" t="inlineStr">
        <is>
          <t>Ca2/CC</t>
        </is>
      </c>
      <c r="D24" s="363" t="n">
        <v>0.1178</v>
      </c>
      <c r="E24" s="203" t="n"/>
      <c r="F24" s="203" t="n"/>
      <c r="G24" s="203" t="n"/>
      <c r="H24" s="203" t="n"/>
      <c r="I24" s="203" t="n"/>
      <c r="J24" s="349" t="inlineStr">
        <is>
          <t>BBB</t>
        </is>
      </c>
      <c r="K24" s="350" t="n">
        <v>0.0016</v>
      </c>
      <c r="L24" s="350" t="n">
        <v>0.004500000000000001</v>
      </c>
      <c r="M24" s="350" t="n">
        <v>0.007800000000000001</v>
      </c>
      <c r="N24" s="350" t="n">
        <v>0.0117</v>
      </c>
      <c r="O24" s="350" t="n">
        <v>0.0158</v>
      </c>
      <c r="P24" s="350" t="n">
        <v>0.0198</v>
      </c>
      <c r="Q24" s="350" t="n">
        <v>0.0233</v>
      </c>
      <c r="R24" s="350" t="n">
        <v>0.0267</v>
      </c>
      <c r="S24" s="350" t="n">
        <v>0.03</v>
      </c>
      <c r="T24" s="350" t="n">
        <v>0.0332</v>
      </c>
    </row>
    <row r="25" customFormat="1" s="74">
      <c r="A25" s="331" t="n">
        <v>0.8</v>
      </c>
      <c r="B25" s="331" t="n">
        <v>1.249999</v>
      </c>
      <c r="C25" s="331" t="inlineStr">
        <is>
          <t>Caa/CCC</t>
        </is>
      </c>
      <c r="D25" s="363" t="n">
        <v>0.0851</v>
      </c>
      <c r="E25" s="203" t="n"/>
      <c r="F25" s="203" t="n"/>
      <c r="G25" s="203" t="n"/>
      <c r="H25" s="203" t="n"/>
      <c r="I25" s="203" t="n"/>
      <c r="J25" s="349" t="inlineStr">
        <is>
          <t>BB</t>
        </is>
      </c>
      <c r="K25" s="350" t="n">
        <v>0.0061</v>
      </c>
      <c r="L25" s="350" t="n">
        <v>0.0192</v>
      </c>
      <c r="M25" s="350" t="n">
        <v>0.0348</v>
      </c>
      <c r="N25" s="350" t="n">
        <v>0.0505</v>
      </c>
      <c r="O25" s="350" t="n">
        <v>0.06519999999999999</v>
      </c>
      <c r="P25" s="350" t="n">
        <v>0.0785</v>
      </c>
      <c r="Q25" s="350" t="n">
        <v>0.0901</v>
      </c>
      <c r="R25" s="350" t="n">
        <v>0.1004</v>
      </c>
      <c r="S25" s="350" t="n">
        <v>0.1097</v>
      </c>
      <c r="T25" s="350" t="n">
        <v>0.1178</v>
      </c>
    </row>
    <row r="26" customFormat="1" s="74">
      <c r="A26" s="331" t="n">
        <v>1.25</v>
      </c>
      <c r="B26" s="331" t="n">
        <v>1.499999</v>
      </c>
      <c r="C26" s="331" t="inlineStr">
        <is>
          <t>B3/B-</t>
        </is>
      </c>
      <c r="D26" s="363" t="n">
        <v>0.0524</v>
      </c>
      <c r="E26" s="203" t="n"/>
      <c r="F26" s="203" t="n"/>
      <c r="G26" s="203" t="n"/>
      <c r="H26" s="203" t="n"/>
      <c r="I26" s="203" t="n"/>
      <c r="J26" s="349" t="inlineStr">
        <is>
          <t>B</t>
        </is>
      </c>
      <c r="K26" s="350" t="n">
        <v>0.0333</v>
      </c>
      <c r="L26" s="350" t="n">
        <v>0.0771</v>
      </c>
      <c r="M26" s="350" t="n">
        <v>0.1155</v>
      </c>
      <c r="N26" s="350" t="n">
        <v>0.1458</v>
      </c>
      <c r="O26" s="350" t="n">
        <v>0.1693</v>
      </c>
      <c r="P26" s="350" t="n">
        <v>0.1883</v>
      </c>
      <c r="Q26" s="350" t="n">
        <v>0.2036</v>
      </c>
      <c r="R26" s="350" t="n">
        <v>0.216</v>
      </c>
      <c r="S26" s="350" t="n">
        <v>0.227</v>
      </c>
      <c r="T26" s="350" t="n">
        <v>0.2374</v>
      </c>
    </row>
    <row r="27" customFormat="1" s="74">
      <c r="A27" s="331" t="n">
        <v>1.5</v>
      </c>
      <c r="B27" s="331" t="n">
        <v>1.749999</v>
      </c>
      <c r="C27" s="331" t="inlineStr">
        <is>
          <t>B2/B</t>
        </is>
      </c>
      <c r="D27" s="363" t="n">
        <v>0.0361</v>
      </c>
      <c r="E27" s="203" t="n"/>
      <c r="F27" s="203" t="n"/>
      <c r="G27" s="203" t="n"/>
      <c r="H27" s="203" t="n"/>
      <c r="I27" s="203" t="n"/>
      <c r="J27" s="349" t="inlineStr">
        <is>
          <t>CCC/C</t>
        </is>
      </c>
      <c r="K27" s="350" t="n">
        <v>0.2708</v>
      </c>
      <c r="L27" s="350" t="n">
        <v>0.3664</v>
      </c>
      <c r="M27" s="350" t="n">
        <v>0.4141</v>
      </c>
      <c r="N27" s="350" t="n">
        <v>0.441</v>
      </c>
      <c r="O27" s="350" t="n">
        <v>0.4619</v>
      </c>
      <c r="P27" s="350" t="n">
        <v>0.4709</v>
      </c>
      <c r="Q27" s="350" t="n">
        <v>0.4826</v>
      </c>
      <c r="R27" s="350" t="n">
        <v>0.4905</v>
      </c>
      <c r="S27" s="350" t="n">
        <v>0.4976</v>
      </c>
      <c r="T27" s="350" t="n">
        <v>0.5038</v>
      </c>
    </row>
    <row r="28" customFormat="1" s="74">
      <c r="A28" s="331" t="n">
        <v>1.75</v>
      </c>
      <c r="B28" s="331" t="n">
        <v>1.999999</v>
      </c>
      <c r="C28" s="331" t="inlineStr">
        <is>
          <t>B1/B+</t>
        </is>
      </c>
      <c r="D28" s="363" t="n">
        <v>0.0314</v>
      </c>
      <c r="E28" s="203" t="n"/>
      <c r="F28" s="203" t="n"/>
      <c r="G28" s="203" t="n"/>
      <c r="H28" s="203" t="n"/>
      <c r="I28" s="203" t="n"/>
      <c r="J28" s="203" t="n"/>
      <c r="K28" s="203" t="n"/>
      <c r="L28" s="203" t="n"/>
      <c r="M28" s="203" t="n"/>
      <c r="N28" s="203" t="n"/>
      <c r="O28" s="203" t="n"/>
      <c r="P28" s="203" t="n"/>
      <c r="Q28" s="203" t="n"/>
      <c r="R28" s="203" t="n"/>
      <c r="S28" s="203" t="n"/>
      <c r="T28" s="203" t="n"/>
    </row>
    <row r="29" customFormat="1" s="74">
      <c r="A29" s="331" t="n">
        <v>2</v>
      </c>
      <c r="B29" s="331" t="n">
        <v>2.2499999</v>
      </c>
      <c r="C29" s="331" t="inlineStr">
        <is>
          <t>Ba2/BB</t>
        </is>
      </c>
      <c r="D29" s="363" t="n">
        <v>0.0221</v>
      </c>
      <c r="E29" s="203" t="n"/>
      <c r="F29" s="203" t="n"/>
      <c r="G29" s="203" t="n"/>
      <c r="H29" s="203" t="n"/>
      <c r="I29" s="203" t="n"/>
      <c r="J29" s="203" t="n"/>
      <c r="K29" s="203" t="n"/>
      <c r="L29" s="203" t="n"/>
      <c r="M29" s="203" t="n"/>
      <c r="N29" s="203" t="n"/>
      <c r="O29" s="203" t="n"/>
      <c r="P29" s="203" t="n"/>
      <c r="Q29" s="203" t="n"/>
      <c r="R29" s="203" t="n"/>
      <c r="S29" s="203" t="n"/>
      <c r="T29" s="203" t="n"/>
    </row>
    <row r="30" customFormat="1" s="74">
      <c r="A30" s="331" t="n">
        <v>2.25</v>
      </c>
      <c r="B30" s="331" t="n">
        <v>2.49999</v>
      </c>
      <c r="C30" s="331" t="inlineStr">
        <is>
          <t>Ba1/BB+</t>
        </is>
      </c>
      <c r="D30" s="363" t="n">
        <v>0.0174</v>
      </c>
      <c r="E30" s="203" t="n"/>
      <c r="F30" s="203" t="n"/>
      <c r="G30" s="203" t="n"/>
      <c r="H30" s="203" t="n"/>
      <c r="I30" s="203" t="n"/>
      <c r="J30" s="203" t="n"/>
      <c r="K30" s="203" t="n"/>
      <c r="L30" s="203" t="n"/>
      <c r="M30" s="203" t="n"/>
      <c r="N30" s="203" t="n"/>
      <c r="O30" s="203" t="n"/>
      <c r="P30" s="203" t="n"/>
      <c r="Q30" s="203" t="n"/>
      <c r="R30" s="203" t="n"/>
      <c r="S30" s="203" t="n"/>
      <c r="T30" s="203" t="n"/>
    </row>
    <row r="31" customFormat="1" s="74">
      <c r="A31" s="331" t="n">
        <v>2.5</v>
      </c>
      <c r="B31" s="331" t="n">
        <v>2.999999</v>
      </c>
      <c r="C31" s="331" t="inlineStr">
        <is>
          <t>Baa2/BBB</t>
        </is>
      </c>
      <c r="D31" s="363" t="n">
        <v>0.0147</v>
      </c>
      <c r="E31" s="203" t="n"/>
      <c r="F31" s="203" t="n"/>
      <c r="G31" s="203" t="n"/>
      <c r="H31" s="203" t="n"/>
      <c r="I31" s="203" t="n"/>
      <c r="J31" s="203" t="n"/>
      <c r="K31" s="203" t="n"/>
      <c r="L31" s="203" t="n"/>
      <c r="M31" s="203" t="n"/>
      <c r="N31" s="203" t="n"/>
      <c r="O31" s="203" t="n"/>
      <c r="P31" s="203" t="n"/>
      <c r="Q31" s="203" t="n"/>
      <c r="R31" s="203" t="n"/>
      <c r="S31" s="203" t="n"/>
      <c r="T31" s="203" t="n"/>
    </row>
    <row r="32" customFormat="1" s="74">
      <c r="A32" s="331" t="n">
        <v>3</v>
      </c>
      <c r="B32" s="331" t="n">
        <v>4.249999</v>
      </c>
      <c r="C32" s="331" t="inlineStr">
        <is>
          <t>A3/A-</t>
        </is>
      </c>
      <c r="D32" s="363" t="n">
        <v>0.0121</v>
      </c>
      <c r="E32" s="203" t="n"/>
      <c r="F32" s="203" t="n"/>
      <c r="G32" s="203" t="n"/>
      <c r="H32" s="203" t="n"/>
      <c r="I32" s="203" t="n"/>
      <c r="J32" s="203" t="n"/>
      <c r="K32" s="203" t="n"/>
      <c r="L32" s="203" t="n"/>
      <c r="M32" s="203" t="n"/>
      <c r="N32" s="203" t="n"/>
      <c r="O32" s="203" t="n"/>
      <c r="P32" s="203" t="n"/>
      <c r="Q32" s="203" t="n"/>
      <c r="R32" s="203" t="n"/>
      <c r="S32" s="203" t="n"/>
      <c r="T32" s="203" t="n"/>
    </row>
    <row r="33" customFormat="1" s="74">
      <c r="A33" s="331" t="n">
        <v>4.25</v>
      </c>
      <c r="B33" s="331" t="n">
        <v>5.499999</v>
      </c>
      <c r="C33" s="331" t="inlineStr">
        <is>
          <t>A2/A</t>
        </is>
      </c>
      <c r="D33" s="363" t="n">
        <v>0.0107</v>
      </c>
      <c r="E33" s="203" t="n"/>
      <c r="F33" s="203" t="n"/>
      <c r="G33" s="203" t="n"/>
      <c r="H33" s="203" t="n"/>
      <c r="I33" s="203" t="n"/>
      <c r="J33" s="203" t="n"/>
      <c r="K33" s="203" t="n"/>
      <c r="L33" s="203" t="n"/>
      <c r="M33" s="203" t="n"/>
      <c r="N33" s="203" t="n"/>
      <c r="O33" s="203" t="n"/>
      <c r="P33" s="203" t="n"/>
      <c r="Q33" s="203" t="n"/>
      <c r="R33" s="203" t="n"/>
      <c r="S33" s="203" t="n"/>
      <c r="T33" s="203" t="n"/>
    </row>
    <row r="34" customFormat="1" s="74">
      <c r="A34" s="331" t="n">
        <v>5.5</v>
      </c>
      <c r="B34" s="331" t="n">
        <v>6.499999</v>
      </c>
      <c r="C34" s="331" t="inlineStr">
        <is>
          <t>A1/A+</t>
        </is>
      </c>
      <c r="D34" s="363" t="n">
        <v>0.0092</v>
      </c>
      <c r="E34" s="203" t="n"/>
      <c r="F34" s="203" t="n"/>
      <c r="G34" s="203" t="n"/>
      <c r="H34" s="203" t="n"/>
      <c r="I34" s="203" t="n"/>
      <c r="J34" s="203" t="n"/>
      <c r="K34" s="203" t="n"/>
      <c r="L34" s="203" t="n"/>
      <c r="M34" s="203" t="n"/>
      <c r="N34" s="203" t="n"/>
      <c r="O34" s="203" t="n"/>
      <c r="P34" s="203" t="n"/>
      <c r="Q34" s="203" t="n"/>
      <c r="R34" s="203" t="n"/>
      <c r="S34" s="203" t="n"/>
      <c r="T34" s="203" t="n"/>
    </row>
    <row r="35" customFormat="1" s="74">
      <c r="A35" s="331" t="n">
        <v>6.5</v>
      </c>
      <c r="B35" s="331" t="n">
        <v>8.499999000000001</v>
      </c>
      <c r="C35" s="331" t="inlineStr">
        <is>
          <t>Aa2/AA</t>
        </is>
      </c>
      <c r="D35" s="363" t="n">
        <v>0.007</v>
      </c>
      <c r="E35" s="203" t="n"/>
      <c r="F35" s="203" t="n"/>
      <c r="G35" s="203" t="n"/>
      <c r="H35" s="203" t="n"/>
      <c r="I35" s="203" t="n"/>
      <c r="J35" s="203" t="n"/>
      <c r="K35" s="203" t="n"/>
      <c r="L35" s="203" t="n"/>
      <c r="M35" s="203" t="n"/>
      <c r="N35" s="203" t="n"/>
      <c r="O35" s="203" t="n"/>
      <c r="P35" s="203" t="n"/>
      <c r="Q35" s="203" t="n"/>
      <c r="R35" s="203" t="n"/>
      <c r="S35" s="203" t="n"/>
      <c r="T35" s="203" t="n"/>
    </row>
    <row r="36" customFormat="1" s="74">
      <c r="A36" s="364" t="n">
        <v>8.5</v>
      </c>
      <c r="B36" s="331" t="n">
        <v>100000</v>
      </c>
      <c r="C36" s="331" t="inlineStr">
        <is>
          <t>Aaa/AAA</t>
        </is>
      </c>
      <c r="D36" s="363" t="n">
        <v>0.0059</v>
      </c>
      <c r="E36" s="203" t="n"/>
      <c r="F36" s="203" t="n"/>
      <c r="G36" s="203" t="n"/>
      <c r="H36" s="203" t="n"/>
      <c r="I36" s="203" t="n"/>
      <c r="J36" s="203" t="n"/>
      <c r="K36" s="203" t="n"/>
      <c r="L36" s="203" t="n"/>
      <c r="M36" s="203" t="n"/>
      <c r="N36" s="203" t="n"/>
      <c r="O36" s="203" t="n"/>
      <c r="P36" s="203" t="n"/>
      <c r="Q36" s="203" t="n"/>
      <c r="R36" s="203" t="n"/>
      <c r="S36" s="203" t="n"/>
      <c r="T36" s="203" t="n"/>
    </row>
    <row r="37" customFormat="1" s="74">
      <c r="A37" s="203" t="n"/>
      <c r="B37" s="203" t="n"/>
      <c r="C37" s="203" t="n"/>
      <c r="D37" s="203" t="n"/>
      <c r="E37" s="203" t="n"/>
      <c r="F37" s="203" t="n"/>
      <c r="G37" s="203" t="n"/>
      <c r="H37" s="203" t="n"/>
      <c r="I37" s="203" t="n"/>
      <c r="J37" s="203" t="n"/>
      <c r="K37" s="203" t="n"/>
      <c r="L37" s="203" t="n"/>
      <c r="M37" s="203" t="n"/>
      <c r="N37" s="203" t="n"/>
      <c r="O37" s="203" t="n"/>
      <c r="P37" s="203" t="n"/>
      <c r="Q37" s="203" t="n"/>
      <c r="R37" s="203" t="n"/>
      <c r="S37" s="203" t="n"/>
      <c r="T37" s="203" t="n"/>
    </row>
    <row r="38" customFormat="1" s="74">
      <c r="A38" s="260" t="inlineStr">
        <is>
          <t>For smaller and riskier firms</t>
        </is>
      </c>
      <c r="B38" s="203" t="n"/>
      <c r="C38" s="203" t="n"/>
      <c r="D38" s="203" t="n"/>
      <c r="E38" s="203" t="n"/>
      <c r="F38" s="203" t="n"/>
      <c r="G38" s="203" t="n"/>
      <c r="H38" s="203" t="n"/>
      <c r="I38" s="203" t="n"/>
      <c r="J38" s="203" t="n"/>
      <c r="K38" s="203" t="n"/>
      <c r="L38" s="203" t="n"/>
      <c r="M38" s="203" t="n"/>
      <c r="N38" s="203" t="n"/>
      <c r="O38" s="203" t="n"/>
      <c r="P38" s="203" t="n"/>
      <c r="Q38" s="203" t="n"/>
      <c r="R38" s="203" t="n"/>
      <c r="S38" s="203" t="n"/>
      <c r="T38" s="203" t="n"/>
    </row>
    <row r="39" customFormat="1" s="74">
      <c r="A39" s="360" t="inlineStr">
        <is>
          <t>If interest coverage ratio is</t>
        </is>
      </c>
      <c r="B39" s="365" t="n"/>
      <c r="C39" s="331" t="n"/>
      <c r="D39" s="331" t="n"/>
      <c r="E39" s="203" t="n"/>
      <c r="F39" s="203" t="n"/>
      <c r="G39" s="203" t="n"/>
      <c r="H39" s="203" t="n"/>
      <c r="I39" s="203" t="n"/>
      <c r="J39" s="203" t="n"/>
      <c r="K39" s="203" t="n"/>
      <c r="L39" s="203" t="n"/>
      <c r="M39" s="203" t="n"/>
      <c r="N39" s="203" t="n"/>
      <c r="O39" s="203" t="n"/>
      <c r="P39" s="203" t="n"/>
      <c r="Q39" s="203" t="n"/>
      <c r="R39" s="203" t="n"/>
      <c r="S39" s="203" t="n"/>
      <c r="T39" s="203" t="n"/>
    </row>
    <row r="40" customFormat="1" s="74">
      <c r="A40" s="331" t="inlineStr">
        <is>
          <t>greater than</t>
        </is>
      </c>
      <c r="B40" s="331" t="inlineStr">
        <is>
          <t>≤ to</t>
        </is>
      </c>
      <c r="C40" s="331" t="inlineStr">
        <is>
          <t>Rating is</t>
        </is>
      </c>
      <c r="D40" s="331" t="inlineStr">
        <is>
          <t>Spread is</t>
        </is>
      </c>
      <c r="E40" s="203" t="n"/>
      <c r="F40" s="203" t="n"/>
      <c r="G40" s="203" t="n"/>
      <c r="H40" s="203" t="n"/>
      <c r="I40" s="203" t="n"/>
      <c r="J40" s="203" t="n"/>
      <c r="K40" s="203" t="n"/>
      <c r="L40" s="203" t="n"/>
      <c r="M40" s="203" t="n"/>
      <c r="N40" s="203" t="n"/>
      <c r="O40" s="203" t="n"/>
      <c r="P40" s="203" t="n"/>
      <c r="Q40" s="203" t="n"/>
      <c r="R40" s="203" t="n"/>
      <c r="S40" s="203" t="n"/>
      <c r="T40" s="203" t="n"/>
    </row>
    <row r="41" customFormat="1" s="74">
      <c r="A41" s="331" t="n">
        <v>-100000</v>
      </c>
      <c r="B41" s="331" t="n">
        <v>0.499999</v>
      </c>
      <c r="C41" s="331" t="inlineStr">
        <is>
          <t>D2/D</t>
        </is>
      </c>
      <c r="D41" s="363" t="n">
        <v>0.2</v>
      </c>
      <c r="E41" s="203" t="n"/>
      <c r="F41" s="203" t="n"/>
      <c r="G41" s="362" t="inlineStr">
        <is>
          <t>Rating is</t>
        </is>
      </c>
      <c r="H41" s="362" t="inlineStr">
        <is>
          <t>Spread is</t>
        </is>
      </c>
      <c r="I41" s="203" t="n"/>
      <c r="J41" s="203" t="n"/>
      <c r="K41" s="203" t="n"/>
      <c r="L41" s="203" t="n"/>
      <c r="M41" s="203" t="n"/>
      <c r="N41" s="203" t="n"/>
      <c r="O41" s="203" t="n"/>
      <c r="P41" s="203" t="n"/>
      <c r="Q41" s="203" t="n"/>
      <c r="R41" s="203" t="n"/>
      <c r="S41" s="203" t="n"/>
      <c r="T41" s="203" t="n"/>
    </row>
    <row r="42" customFormat="1" s="74">
      <c r="A42" s="331" t="n">
        <v>0.5</v>
      </c>
      <c r="B42" s="331" t="n">
        <v>0.799999</v>
      </c>
      <c r="C42" s="331" t="inlineStr">
        <is>
          <t>C2/C</t>
        </is>
      </c>
      <c r="D42" s="363" t="n">
        <v>0.17</v>
      </c>
      <c r="E42" s="203" t="n"/>
      <c r="F42" s="203" t="n"/>
      <c r="G42" s="331" t="inlineStr">
        <is>
          <t>A1/A+</t>
        </is>
      </c>
      <c r="H42" s="363" t="n">
        <v>0.0092</v>
      </c>
      <c r="I42" s="203" t="n"/>
      <c r="J42" s="203" t="n"/>
      <c r="K42" s="203" t="n"/>
      <c r="L42" s="203" t="n"/>
      <c r="M42" s="203" t="n"/>
      <c r="N42" s="203" t="n"/>
      <c r="O42" s="203" t="n"/>
      <c r="P42" s="203" t="n"/>
      <c r="Q42" s="203" t="n"/>
      <c r="R42" s="203" t="n"/>
      <c r="S42" s="203" t="n"/>
      <c r="T42" s="203" t="n"/>
    </row>
    <row r="43" customFormat="1" s="74">
      <c r="A43" s="331" t="n">
        <v>0.8</v>
      </c>
      <c r="B43" s="331" t="n">
        <v>1.249999</v>
      </c>
      <c r="C43" s="331" t="inlineStr">
        <is>
          <t>Ca2/CC</t>
        </is>
      </c>
      <c r="D43" s="363" t="n">
        <v>0.1178</v>
      </c>
      <c r="E43" s="203" t="n"/>
      <c r="F43" s="203" t="n"/>
      <c r="G43" s="331" t="inlineStr">
        <is>
          <t>A2/A</t>
        </is>
      </c>
      <c r="H43" s="363" t="n">
        <v>0.0107</v>
      </c>
      <c r="I43" s="203" t="n"/>
      <c r="J43" s="203" t="n"/>
      <c r="K43" s="203" t="n"/>
      <c r="L43" s="203" t="n"/>
      <c r="M43" s="203" t="n"/>
      <c r="N43" s="203" t="n"/>
      <c r="O43" s="203" t="n"/>
      <c r="P43" s="203" t="n"/>
      <c r="Q43" s="203" t="n"/>
      <c r="R43" s="203" t="n"/>
      <c r="S43" s="203" t="n"/>
      <c r="T43" s="203" t="n"/>
    </row>
    <row r="44" customFormat="1" s="74">
      <c r="A44" s="331" t="n">
        <v>1.25</v>
      </c>
      <c r="B44" s="331" t="n">
        <v>1.499999</v>
      </c>
      <c r="C44" s="331" t="inlineStr">
        <is>
          <t>Caa/CCC</t>
        </is>
      </c>
      <c r="D44" s="363" t="n">
        <v>0.0851</v>
      </c>
      <c r="E44" s="203" t="n"/>
      <c r="F44" s="203" t="n"/>
      <c r="G44" s="331" t="inlineStr">
        <is>
          <t>A3/A-</t>
        </is>
      </c>
      <c r="H44" s="363" t="n">
        <v>0.0121</v>
      </c>
      <c r="I44" s="203" t="n"/>
      <c r="J44" s="203" t="n"/>
      <c r="K44" s="203" t="n"/>
      <c r="L44" s="203" t="n"/>
      <c r="M44" s="203" t="n"/>
      <c r="N44" s="203" t="n"/>
      <c r="O44" s="203" t="n"/>
      <c r="P44" s="203" t="n"/>
      <c r="Q44" s="203" t="n"/>
      <c r="R44" s="203" t="n"/>
      <c r="S44" s="203" t="n"/>
      <c r="T44" s="203" t="n"/>
    </row>
    <row r="45" customFormat="1" s="74">
      <c r="A45" s="331" t="n">
        <v>1.5</v>
      </c>
      <c r="B45" s="331" t="n">
        <v>1.999999</v>
      </c>
      <c r="C45" s="331" t="inlineStr">
        <is>
          <t>B3/B-</t>
        </is>
      </c>
      <c r="D45" s="363" t="n">
        <v>0.0524</v>
      </c>
      <c r="E45" s="203" t="n"/>
      <c r="F45" s="203" t="n"/>
      <c r="G45" s="331" t="inlineStr">
        <is>
          <t>Aa2/AA</t>
        </is>
      </c>
      <c r="H45" s="363" t="n">
        <v>0.007</v>
      </c>
      <c r="I45" s="203" t="n"/>
      <c r="J45" s="203" t="n"/>
      <c r="K45" s="203" t="n"/>
      <c r="L45" s="203" t="n"/>
      <c r="M45" s="203" t="n"/>
      <c r="N45" s="203" t="n"/>
      <c r="O45" s="203" t="n"/>
      <c r="P45" s="203" t="n"/>
      <c r="Q45" s="203" t="n"/>
      <c r="R45" s="203" t="n"/>
      <c r="S45" s="203" t="n"/>
      <c r="T45" s="203" t="n"/>
    </row>
    <row r="46" customFormat="1" s="74">
      <c r="A46" s="331" t="n">
        <v>2</v>
      </c>
      <c r="B46" s="331" t="n">
        <v>2.499999</v>
      </c>
      <c r="C46" s="331" t="inlineStr">
        <is>
          <t>B2/B</t>
        </is>
      </c>
      <c r="D46" s="363" t="n">
        <v>0.0361</v>
      </c>
      <c r="E46" s="203" t="n"/>
      <c r="F46" s="203" t="n"/>
      <c r="G46" s="331" t="inlineStr">
        <is>
          <t>Aaa/AAA</t>
        </is>
      </c>
      <c r="H46" s="363" t="n">
        <v>0.0059</v>
      </c>
      <c r="I46" s="203" t="n"/>
      <c r="J46" s="203" t="n"/>
      <c r="K46" s="203" t="n"/>
      <c r="L46" s="203" t="n"/>
      <c r="M46" s="203" t="n"/>
      <c r="N46" s="203" t="n"/>
      <c r="O46" s="203" t="n"/>
      <c r="P46" s="203" t="n"/>
      <c r="Q46" s="203" t="n"/>
      <c r="R46" s="203" t="n"/>
      <c r="S46" s="203" t="n"/>
      <c r="T46" s="203" t="n"/>
    </row>
    <row r="47" customFormat="1" s="74">
      <c r="A47" s="331" t="n">
        <v>2.5</v>
      </c>
      <c r="B47" s="331" t="n">
        <v>2.999999</v>
      </c>
      <c r="C47" s="331" t="inlineStr">
        <is>
          <t>B1/B+</t>
        </is>
      </c>
      <c r="D47" s="363" t="n">
        <v>0.0314</v>
      </c>
      <c r="E47" s="203" t="n"/>
      <c r="F47" s="203" t="n"/>
      <c r="G47" s="331" t="inlineStr">
        <is>
          <t>B1/B+</t>
        </is>
      </c>
      <c r="H47" s="363" t="n">
        <v>0.0314</v>
      </c>
      <c r="I47" s="203" t="n"/>
      <c r="J47" s="203" t="n"/>
      <c r="K47" s="203" t="n"/>
      <c r="L47" s="203" t="n"/>
      <c r="M47" s="203" t="n"/>
      <c r="N47" s="203" t="n"/>
      <c r="O47" s="203" t="n"/>
      <c r="P47" s="203" t="n"/>
      <c r="Q47" s="203" t="n"/>
      <c r="R47" s="203" t="n"/>
      <c r="S47" s="203" t="n"/>
      <c r="T47" s="203" t="n"/>
    </row>
    <row r="48" customFormat="1" s="74">
      <c r="A48" s="331" t="n">
        <v>3</v>
      </c>
      <c r="B48" s="331" t="n">
        <v>3.499999</v>
      </c>
      <c r="C48" s="331" t="inlineStr">
        <is>
          <t>Ba2/BB</t>
        </is>
      </c>
      <c r="D48" s="363" t="n">
        <v>0.0221</v>
      </c>
      <c r="E48" s="203" t="n"/>
      <c r="F48" s="203" t="n"/>
      <c r="G48" s="331" t="inlineStr">
        <is>
          <t>B2/B</t>
        </is>
      </c>
      <c r="H48" s="363" t="n">
        <v>0.0361</v>
      </c>
      <c r="I48" s="203" t="n"/>
      <c r="J48" s="203" t="n"/>
      <c r="K48" s="203" t="n"/>
      <c r="L48" s="203" t="n"/>
      <c r="M48" s="203" t="n"/>
      <c r="N48" s="203" t="n"/>
      <c r="O48" s="203" t="n"/>
      <c r="P48" s="203" t="n"/>
      <c r="Q48" s="203" t="n"/>
      <c r="R48" s="203" t="n"/>
      <c r="S48" s="203" t="n"/>
      <c r="T48" s="203" t="n"/>
    </row>
    <row r="49" customFormat="1" s="74">
      <c r="A49" s="331" t="n">
        <v>3.5</v>
      </c>
      <c r="B49" s="331" t="n">
        <v>3.9999999</v>
      </c>
      <c r="C49" s="331" t="inlineStr">
        <is>
          <t>Ba1/BB+</t>
        </is>
      </c>
      <c r="D49" s="363" t="n">
        <v>0.0174</v>
      </c>
      <c r="E49" s="203" t="n"/>
      <c r="F49" s="203" t="n"/>
      <c r="G49" s="331" t="inlineStr">
        <is>
          <t>B3/B-</t>
        </is>
      </c>
      <c r="H49" s="363" t="n">
        <v>0.0524</v>
      </c>
      <c r="I49" s="203" t="n"/>
      <c r="J49" s="203" t="n"/>
      <c r="K49" s="203" t="n"/>
      <c r="L49" s="203" t="n"/>
      <c r="M49" s="203" t="n"/>
      <c r="N49" s="203" t="n"/>
      <c r="O49" s="203" t="n"/>
      <c r="P49" s="203" t="n"/>
      <c r="Q49" s="203" t="n"/>
      <c r="R49" s="203" t="n"/>
      <c r="S49" s="203" t="n"/>
      <c r="T49" s="203" t="n"/>
    </row>
    <row r="50" customFormat="1" s="74">
      <c r="A50" s="331" t="n">
        <v>4</v>
      </c>
      <c r="B50" s="331" t="n">
        <v>4.499999</v>
      </c>
      <c r="C50" s="331" t="inlineStr">
        <is>
          <t>Baa2/BBB</t>
        </is>
      </c>
      <c r="D50" s="363" t="n">
        <v>0.0147</v>
      </c>
      <c r="E50" s="203" t="n"/>
      <c r="F50" s="203" t="n"/>
      <c r="G50" s="331" t="inlineStr">
        <is>
          <t>Ba1/BB+</t>
        </is>
      </c>
      <c r="H50" s="363" t="n">
        <v>0.0174</v>
      </c>
      <c r="I50" s="203" t="n"/>
      <c r="J50" s="203" t="n"/>
      <c r="K50" s="203" t="n"/>
      <c r="L50" s="203" t="n"/>
      <c r="M50" s="203" t="n"/>
      <c r="N50" s="203" t="n"/>
      <c r="O50" s="203" t="n"/>
      <c r="P50" s="203" t="n"/>
      <c r="Q50" s="203" t="n"/>
      <c r="R50" s="203" t="n"/>
      <c r="S50" s="203" t="n"/>
      <c r="T50" s="203" t="n"/>
    </row>
    <row r="51" customFormat="1" s="74">
      <c r="A51" s="331" t="n">
        <v>4.5</v>
      </c>
      <c r="B51" s="331" t="n">
        <v>5.999999</v>
      </c>
      <c r="C51" s="331" t="inlineStr">
        <is>
          <t>A3/A-</t>
        </is>
      </c>
      <c r="D51" s="363" t="n">
        <v>0.0121</v>
      </c>
      <c r="E51" s="203" t="n"/>
      <c r="F51" s="203" t="n"/>
      <c r="G51" s="331" t="inlineStr">
        <is>
          <t>Ba2/BB</t>
        </is>
      </c>
      <c r="H51" s="363" t="n">
        <v>0.0221</v>
      </c>
      <c r="I51" s="203" t="n"/>
      <c r="J51" s="203" t="n"/>
      <c r="K51" s="203" t="n"/>
      <c r="L51" s="203" t="n"/>
      <c r="M51" s="203" t="n"/>
      <c r="N51" s="203" t="n"/>
      <c r="O51" s="203" t="n"/>
      <c r="P51" s="203" t="n"/>
      <c r="Q51" s="203" t="n"/>
      <c r="R51" s="203" t="n"/>
      <c r="S51" s="203" t="n"/>
      <c r="T51" s="203" t="n"/>
    </row>
    <row r="52" customFormat="1" s="74">
      <c r="A52" s="331" t="n">
        <v>6</v>
      </c>
      <c r="B52" s="331" t="n">
        <v>7.499999</v>
      </c>
      <c r="C52" s="331" t="inlineStr">
        <is>
          <t>A2/A</t>
        </is>
      </c>
      <c r="D52" s="363" t="n">
        <v>0.0107</v>
      </c>
      <c r="E52" s="203" t="n"/>
      <c r="F52" s="203" t="n"/>
      <c r="G52" s="331" t="inlineStr">
        <is>
          <t>Baa2/BBB</t>
        </is>
      </c>
      <c r="H52" s="363" t="n">
        <v>0.0147</v>
      </c>
      <c r="I52" s="203" t="n"/>
      <c r="J52" s="203" t="n"/>
      <c r="K52" s="203" t="n"/>
      <c r="L52" s="203" t="n"/>
      <c r="M52" s="203" t="n"/>
      <c r="N52" s="203" t="n"/>
      <c r="O52" s="203" t="n"/>
      <c r="P52" s="203" t="n"/>
      <c r="Q52" s="203" t="n"/>
      <c r="R52" s="203" t="n"/>
      <c r="S52" s="203" t="n"/>
      <c r="T52" s="203" t="n"/>
    </row>
    <row r="53" customFormat="1" s="74">
      <c r="A53" s="331" t="n">
        <v>7.5</v>
      </c>
      <c r="B53" s="331" t="n">
        <v>9.499999000000001</v>
      </c>
      <c r="C53" s="331" t="inlineStr">
        <is>
          <t>A1/A+</t>
        </is>
      </c>
      <c r="D53" s="363" t="n">
        <v>0.0092</v>
      </c>
      <c r="E53" s="203" t="n"/>
      <c r="F53" s="203" t="n"/>
      <c r="G53" s="331" t="inlineStr">
        <is>
          <t>C2/C</t>
        </is>
      </c>
      <c r="H53" s="363" t="n">
        <v>0.17</v>
      </c>
      <c r="I53" s="203" t="n"/>
      <c r="J53" s="203" t="n"/>
      <c r="K53" s="203" t="n"/>
      <c r="L53" s="203" t="n"/>
      <c r="M53" s="203" t="n"/>
      <c r="N53" s="203" t="n"/>
      <c r="O53" s="203" t="n"/>
      <c r="P53" s="203" t="n"/>
      <c r="Q53" s="203" t="n"/>
      <c r="R53" s="203" t="n"/>
      <c r="S53" s="203" t="n"/>
      <c r="T53" s="203" t="n"/>
    </row>
    <row r="54">
      <c r="A54" s="331" t="n">
        <v>9.5</v>
      </c>
      <c r="B54" s="331" t="n">
        <v>12.499999</v>
      </c>
      <c r="C54" s="331" t="inlineStr">
        <is>
          <t>Aa2/AA</t>
        </is>
      </c>
      <c r="D54" s="363" t="n">
        <v>0.007</v>
      </c>
      <c r="G54" s="331" t="inlineStr">
        <is>
          <t>Ca2/CC</t>
        </is>
      </c>
      <c r="H54" s="363" t="n">
        <v>0.1178</v>
      </c>
      <c r="U54" s="74" t="n"/>
      <c r="V54" s="74" t="n"/>
      <c r="W54" s="74" t="n"/>
      <c r="X54" s="74" t="n"/>
      <c r="Y54" s="74" t="n"/>
    </row>
    <row r="55">
      <c r="A55" s="331" t="n">
        <v>12.5</v>
      </c>
      <c r="B55" s="331" t="n">
        <v>100000</v>
      </c>
      <c r="C55" s="331" t="inlineStr">
        <is>
          <t>Aaa/AAA</t>
        </is>
      </c>
      <c r="D55" s="363" t="n">
        <v>0.0059</v>
      </c>
      <c r="G55" s="331" t="inlineStr">
        <is>
          <t>Caa/CCC</t>
        </is>
      </c>
      <c r="H55" s="363" t="n">
        <v>0.0851</v>
      </c>
      <c r="U55" s="74" t="n"/>
      <c r="V55" s="74" t="n"/>
      <c r="W55" s="74" t="n"/>
      <c r="X55" s="74" t="n"/>
      <c r="Y55" s="74" t="n"/>
    </row>
    <row r="56">
      <c r="G56" s="331" t="inlineStr">
        <is>
          <t>D2/D</t>
        </is>
      </c>
      <c r="H56" s="363" t="n">
        <v>0.2</v>
      </c>
      <c r="U56" s="74" t="n"/>
      <c r="V56" s="74" t="n"/>
      <c r="W56" s="74" t="n"/>
      <c r="X56" s="74" t="n"/>
      <c r="Y56" s="74" t="n"/>
    </row>
    <row r="57">
      <c r="U57" s="74" t="n"/>
      <c r="V57" s="74" t="n"/>
      <c r="W57" s="74" t="n"/>
      <c r="X57" s="74" t="n"/>
      <c r="Y57" s="74" t="n"/>
    </row>
    <row r="58">
      <c r="U58" s="74" t="n"/>
      <c r="V58" s="74" t="n"/>
      <c r="W58" s="74" t="n"/>
      <c r="X58" s="74" t="n"/>
      <c r="Y58" s="74" t="n"/>
    </row>
    <row r="59">
      <c r="U59" s="74" t="n"/>
      <c r="V59" s="74" t="n"/>
      <c r="W59" s="74" t="n"/>
      <c r="X59" s="74" t="n"/>
      <c r="Y59" s="74" t="n"/>
    </row>
    <row r="60">
      <c r="U60" s="74" t="n"/>
      <c r="V60" s="74" t="n"/>
      <c r="W60" s="74" t="n"/>
      <c r="X60" s="74" t="n"/>
      <c r="Y60" s="74"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40"/>
  <sheetViews>
    <sheetView workbookViewId="0">
      <selection activeCell="B14" sqref="B14"/>
    </sheetView>
  </sheetViews>
  <sheetFormatPr baseColWidth="10" defaultRowHeight="13"/>
  <cols>
    <col width="11" bestFit="1" customWidth="1" style="340" min="1" max="3"/>
    <col width="11.1640625" bestFit="1" customWidth="1" style="340" min="4" max="6"/>
    <col width="10.83203125" customWidth="1" style="340" min="7" max="10"/>
  </cols>
  <sheetData>
    <row r="1" ht="18" customFormat="1" customHeight="1" s="5">
      <c r="A1" s="367" t="inlineStr">
        <is>
          <t>R &amp; D Converter</t>
        </is>
      </c>
      <c r="B1" s="367" t="n"/>
      <c r="C1" s="367" t="n"/>
      <c r="D1" s="367" t="n"/>
      <c r="E1" s="367" t="n"/>
      <c r="F1" s="367" t="n"/>
      <c r="G1" s="367" t="n"/>
      <c r="H1" s="367" t="n"/>
      <c r="I1" s="367" t="n"/>
      <c r="J1" s="367" t="n"/>
    </row>
    <row r="2" customFormat="1" s="6">
      <c r="A2" s="342" t="inlineStr">
        <is>
          <t>This spreadsheet converts R&amp;D expenses from operating to capital expenses. It makes the appropriate adjustments to operating income, net</t>
        </is>
      </c>
      <c r="B2" s="342" t="n"/>
      <c r="C2" s="342" t="n"/>
      <c r="D2" s="342" t="n"/>
      <c r="E2" s="342" t="n"/>
      <c r="F2" s="342" t="n"/>
      <c r="G2" s="342" t="n"/>
      <c r="H2" s="342" t="n"/>
      <c r="I2" s="342" t="n"/>
      <c r="J2" s="342" t="n"/>
    </row>
    <row r="3" customFormat="1" s="6">
      <c r="A3" s="342" t="inlineStr">
        <is>
          <t>income, the book value of assets and the book value of equity.</t>
        </is>
      </c>
      <c r="B3" s="342" t="n"/>
      <c r="C3" s="342" t="n"/>
      <c r="D3" s="342" t="n"/>
      <c r="E3" s="342" t="n"/>
      <c r="F3" s="342" t="n"/>
      <c r="G3" s="342" t="n"/>
      <c r="H3" s="342" t="n"/>
      <c r="I3" s="342" t="n"/>
      <c r="J3" s="342" t="n"/>
    </row>
    <row r="4" customFormat="1" s="6">
      <c r="A4" s="342" t="n"/>
      <c r="B4" s="342" t="n"/>
      <c r="C4" s="342" t="n"/>
      <c r="D4" s="342" t="n"/>
      <c r="E4" s="342" t="n"/>
      <c r="F4" s="342" t="n"/>
      <c r="G4" s="342" t="n"/>
      <c r="H4" s="342" t="n"/>
      <c r="I4" s="342" t="n"/>
      <c r="J4" s="342" t="n"/>
    </row>
    <row r="5" customFormat="1" s="6">
      <c r="A5" s="346" t="inlineStr">
        <is>
          <t>Inputs</t>
        </is>
      </c>
      <c r="B5" s="342" t="n"/>
      <c r="C5" s="342" t="n"/>
      <c r="D5" s="342" t="n"/>
      <c r="E5" s="342" t="n"/>
      <c r="F5" s="342" t="n"/>
      <c r="G5" s="342" t="n"/>
      <c r="H5" s="342" t="n"/>
      <c r="I5" s="342" t="n"/>
      <c r="J5" s="342" t="n"/>
    </row>
    <row r="6" customFormat="1" s="6">
      <c r="A6" s="342" t="inlineStr">
        <is>
          <t>Over how many years do you want to amortize R&amp;D expenses</t>
        </is>
      </c>
      <c r="B6" s="342" t="n"/>
      <c r="C6" s="342" t="n"/>
      <c r="D6" s="342" t="n"/>
      <c r="E6" s="342" t="n"/>
      <c r="F6" s="368" t="n">
        <v>3</v>
      </c>
      <c r="G6" s="342" t="inlineStr">
        <is>
          <t>! If in doubt, use the lookup table below</t>
        </is>
      </c>
      <c r="H6" s="342" t="n"/>
      <c r="I6" s="342" t="n"/>
      <c r="J6" s="342" t="n"/>
    </row>
    <row r="7" customFormat="1" s="6">
      <c r="A7" s="342" t="inlineStr">
        <is>
          <t>Enter the current year's R&amp;D expense =</t>
        </is>
      </c>
      <c r="B7" s="342" t="n"/>
      <c r="C7" s="342" t="n"/>
      <c r="D7" s="342" t="n"/>
      <c r="E7" s="342" t="n"/>
      <c r="F7" s="722" t="n">
        <v>47840</v>
      </c>
      <c r="G7" s="342" t="inlineStr">
        <is>
          <t>The maximum allowed is ten years</t>
        </is>
      </c>
      <c r="H7" s="342" t="n"/>
      <c r="I7" s="342" t="n"/>
      <c r="J7" s="342" t="n"/>
    </row>
    <row r="8" customFormat="1" s="6">
      <c r="A8" s="342" t="inlineStr">
        <is>
          <t>Enter R&amp; D expenses for past years: the number of years that you will need to enter will be determined by the amortization period</t>
        </is>
      </c>
      <c r="B8" s="342" t="n"/>
      <c r="C8" s="342" t="n"/>
      <c r="D8" s="342" t="n"/>
      <c r="E8" s="342" t="n"/>
      <c r="F8" s="342" t="n"/>
      <c r="G8" s="342" t="n"/>
      <c r="H8" s="342" t="n"/>
      <c r="I8" s="342" t="n"/>
      <c r="J8" s="342" t="n"/>
    </row>
    <row r="9" customFormat="1" s="6">
      <c r="A9" s="342" t="inlineStr">
        <is>
          <t>Do not input numbers in the first column (Year). It will get automatically updated  based on the input above.</t>
        </is>
      </c>
      <c r="B9" s="342" t="n"/>
      <c r="C9" s="342" t="n"/>
      <c r="D9" s="342" t="n"/>
      <c r="E9" s="342" t="n"/>
      <c r="F9" s="342" t="n"/>
      <c r="G9" s="342" t="n"/>
      <c r="H9" s="342" t="n"/>
      <c r="I9" s="342" t="n"/>
      <c r="J9" s="342" t="n"/>
    </row>
    <row r="10" customFormat="1" s="96">
      <c r="A10" s="370" t="inlineStr">
        <is>
          <t>Year</t>
        </is>
      </c>
      <c r="B10" s="370" t="inlineStr">
        <is>
          <t>R&amp; D Expenses</t>
        </is>
      </c>
      <c r="C10" s="371" t="n"/>
      <c r="D10" s="371" t="n"/>
      <c r="E10" s="371" t="n"/>
      <c r="F10" s="371" t="n"/>
      <c r="G10" s="371" t="n"/>
      <c r="H10" s="371" t="n"/>
      <c r="I10" s="371" t="n"/>
      <c r="J10" s="372" t="n"/>
    </row>
    <row r="11" customFormat="1" s="96">
      <c r="A11" s="373" t="n">
        <v>-1</v>
      </c>
      <c r="B11" s="374" t="n">
        <v>43873</v>
      </c>
      <c r="C11" s="371" t="inlineStr">
        <is>
          <t>! Year -1 is the year prior to the current year</t>
        </is>
      </c>
      <c r="D11" s="371" t="n"/>
      <c r="E11" s="371" t="n"/>
      <c r="F11" s="371" t="n"/>
      <c r="G11" s="371" t="n"/>
      <c r="H11" s="371" t="n"/>
      <c r="I11" s="371" t="n"/>
      <c r="J11" s="372" t="n"/>
    </row>
    <row r="12" customFormat="1" s="96">
      <c r="A12" s="373">
        <f>IF((0-A11)&lt;$F$6,IF(A11&gt;-1,,A11-1),)</f>
        <v/>
      </c>
      <c r="B12" s="374" t="n">
        <v>38483</v>
      </c>
      <c r="C12" s="371" t="inlineStr">
        <is>
          <t>! Year -2 is the two years prior to the current year</t>
        </is>
      </c>
      <c r="D12" s="371" t="n"/>
      <c r="E12" s="371" t="n"/>
      <c r="F12" s="371" t="n"/>
      <c r="G12" s="371" t="n"/>
      <c r="H12" s="371" t="n"/>
      <c r="I12" s="371" t="n"/>
      <c r="J12" s="372" t="n"/>
    </row>
    <row r="13" customFormat="1" s="96">
      <c r="A13" s="373">
        <f>IF((0-A12)&lt;$F$6,IF(A12&gt;-1,,A12-1),)</f>
        <v/>
      </c>
      <c r="B13" s="374" t="n">
        <v>35338</v>
      </c>
      <c r="C13" s="371" t="n"/>
      <c r="D13" s="371" t="n"/>
      <c r="E13" s="371" t="n"/>
      <c r="F13" s="371" t="n"/>
      <c r="G13" s="371" t="n"/>
      <c r="H13" s="371" t="n"/>
      <c r="I13" s="371" t="n"/>
      <c r="J13" s="372" t="n"/>
    </row>
    <row r="14" customFormat="1" s="96">
      <c r="A14" s="373">
        <f>IF((0-A13)&lt;$F$6,IF(A13&gt;-1,,A13-1),)</f>
        <v/>
      </c>
      <c r="B14" s="374" t="n"/>
      <c r="C14" s="371" t="n"/>
      <c r="D14" s="371" t="n"/>
      <c r="E14" s="371" t="n"/>
      <c r="F14" s="371" t="n"/>
      <c r="G14" s="371" t="n"/>
      <c r="H14" s="371" t="n"/>
      <c r="I14" s="371" t="n"/>
      <c r="J14" s="372" t="n"/>
    </row>
    <row r="15" customFormat="1" s="96">
      <c r="A15" s="373">
        <f>IF((0-A14)&lt;$F$6,IF(A14&gt;-1,,A14-1),)</f>
        <v/>
      </c>
      <c r="B15" s="374" t="n"/>
      <c r="C15" s="371" t="n"/>
      <c r="D15" s="371" t="n"/>
      <c r="E15" s="371" t="n"/>
      <c r="F15" s="371" t="n"/>
      <c r="G15" s="371" t="n"/>
      <c r="H15" s="371" t="n"/>
      <c r="I15" s="371" t="n"/>
      <c r="J15" s="372" t="n"/>
    </row>
    <row r="16" customFormat="1" s="96">
      <c r="A16" s="373">
        <f>IF((0-A15)&lt;$F$6,IF(A15&gt;-1,,A15-1),)</f>
        <v/>
      </c>
      <c r="B16" s="374" t="n"/>
      <c r="C16" s="371" t="n"/>
      <c r="D16" s="371" t="n"/>
      <c r="E16" s="371" t="n"/>
      <c r="F16" s="371" t="n"/>
      <c r="G16" s="371" t="n"/>
      <c r="H16" s="371" t="n"/>
      <c r="I16" s="371" t="n"/>
      <c r="J16" s="372" t="n"/>
    </row>
    <row r="17" customFormat="1" s="96">
      <c r="A17" s="373">
        <f>IF((0-A16)&lt;$F$6,IF(A16&gt;-1,,A16-1),)</f>
        <v/>
      </c>
      <c r="B17" s="374" t="n"/>
      <c r="C17" s="371" t="n"/>
      <c r="D17" s="371" t="n"/>
      <c r="E17" s="371" t="n"/>
      <c r="F17" s="371" t="n"/>
      <c r="G17" s="371" t="n"/>
      <c r="H17" s="371" t="n"/>
      <c r="I17" s="371" t="n"/>
      <c r="J17" s="372" t="n"/>
    </row>
    <row r="18" customFormat="1" s="96">
      <c r="A18" s="373">
        <f>IF((0-A17)&lt;$F$6,IF(A17&gt;-1,,A17-1),)</f>
        <v/>
      </c>
      <c r="B18" s="374" t="n"/>
      <c r="C18" s="371" t="n"/>
      <c r="D18" s="371" t="n"/>
      <c r="E18" s="371" t="n"/>
      <c r="F18" s="371" t="n"/>
      <c r="G18" s="371" t="n"/>
      <c r="H18" s="371" t="n"/>
      <c r="I18" s="371" t="n"/>
      <c r="J18" s="372" t="n"/>
    </row>
    <row r="19" customFormat="1" s="96">
      <c r="A19" s="373">
        <f>IF((0-A18)&lt;$F$6,IF(A18&gt;-1,,A18-1),)</f>
        <v/>
      </c>
      <c r="B19" s="374" t="n"/>
      <c r="C19" s="371" t="n"/>
      <c r="D19" s="371" t="n"/>
      <c r="E19" s="371" t="n"/>
      <c r="F19" s="371" t="n"/>
      <c r="G19" s="371" t="n"/>
      <c r="H19" s="371" t="n"/>
      <c r="I19" s="371" t="n"/>
      <c r="J19" s="372" t="n"/>
    </row>
    <row r="20" customFormat="1" s="96">
      <c r="A20" s="373">
        <f>IF((0-A19)&lt;$F$6,IF(A19&gt;-1,,A19-1),)</f>
        <v/>
      </c>
      <c r="B20" s="374" t="n"/>
      <c r="C20" s="371" t="n"/>
      <c r="D20" s="371" t="n"/>
      <c r="E20" s="371" t="n"/>
      <c r="F20" s="371" t="n"/>
      <c r="G20" s="371" t="n"/>
      <c r="H20" s="371" t="n"/>
      <c r="I20" s="371" t="n"/>
      <c r="J20" s="372" t="n"/>
    </row>
    <row r="21" customFormat="1" s="96">
      <c r="A21" s="371" t="n"/>
      <c r="B21" s="371" t="n"/>
      <c r="C21" s="371" t="n"/>
      <c r="D21" s="371" t="n"/>
      <c r="E21" s="371" t="n"/>
      <c r="F21" s="371" t="n"/>
      <c r="G21" s="371" t="n"/>
      <c r="H21" s="371" t="n"/>
      <c r="I21" s="371" t="n"/>
      <c r="J21" s="372" t="n"/>
    </row>
    <row r="22" customFormat="1" s="96">
      <c r="A22" s="375" t="inlineStr">
        <is>
          <t>Output</t>
        </is>
      </c>
      <c r="B22" s="371" t="n"/>
      <c r="C22" s="371" t="n"/>
      <c r="D22" s="371" t="n"/>
      <c r="E22" s="371" t="n"/>
      <c r="F22" s="371" t="n"/>
      <c r="G22" s="371" t="n"/>
      <c r="H22" s="371" t="n"/>
      <c r="I22" s="371" t="n"/>
      <c r="J22" s="372" t="n"/>
    </row>
    <row r="23" customFormat="1" s="96">
      <c r="A23" s="370" t="inlineStr">
        <is>
          <t>Year</t>
        </is>
      </c>
      <c r="B23" s="370" t="inlineStr">
        <is>
          <t>R&amp;D Expense</t>
        </is>
      </c>
      <c r="C23" s="376" t="inlineStr">
        <is>
          <t>Unamortized portion</t>
        </is>
      </c>
      <c r="D23" s="377" t="n"/>
      <c r="E23" s="371" t="inlineStr">
        <is>
          <t>Amortization this year</t>
        </is>
      </c>
      <c r="F23" s="371" t="n"/>
      <c r="G23" s="371" t="n"/>
      <c r="H23" s="371" t="n"/>
      <c r="I23" s="371" t="n"/>
      <c r="J23" s="372" t="n"/>
    </row>
    <row r="24" customFormat="1" s="96">
      <c r="A24" s="370" t="inlineStr">
        <is>
          <t>Current</t>
        </is>
      </c>
      <c r="B24" s="370">
        <f>F7</f>
        <v/>
      </c>
      <c r="C24" s="370">
        <f>1</f>
        <v/>
      </c>
      <c r="D24" s="370">
        <f>B24*C24</f>
        <v/>
      </c>
      <c r="E24" s="371" t="n"/>
      <c r="F24" s="371" t="n"/>
      <c r="G24" s="371" t="n"/>
      <c r="H24" s="371" t="n"/>
      <c r="I24" s="371" t="n"/>
      <c r="J24" s="372" t="n"/>
    </row>
    <row r="25" customFormat="1" s="96">
      <c r="A25" s="373">
        <f>A11</f>
        <v/>
      </c>
      <c r="B25" s="370">
        <f>B11</f>
        <v/>
      </c>
      <c r="C25" s="370">
        <f>IF(A25&lt;0,($F$6+A25)/$F$6,0)</f>
        <v/>
      </c>
      <c r="D25" s="370">
        <f>B25*C25</f>
        <v/>
      </c>
      <c r="E25" s="723">
        <f>IF(A25&lt;0,B25/$F$6,0)</f>
        <v/>
      </c>
      <c r="F25" s="371" t="n"/>
      <c r="G25" s="371" t="n"/>
      <c r="H25" s="371" t="n"/>
      <c r="I25" s="371" t="n"/>
      <c r="J25" s="372" t="n"/>
    </row>
    <row r="26" customFormat="1" s="96">
      <c r="A26" s="373">
        <f>A12</f>
        <v/>
      </c>
      <c r="B26" s="370">
        <f>B12</f>
        <v/>
      </c>
      <c r="C26" s="370">
        <f>IF(A26&lt;0,($F$6+A26)/$F$6,0)</f>
        <v/>
      </c>
      <c r="D26" s="370">
        <f>B26*C26</f>
        <v/>
      </c>
      <c r="E26" s="723">
        <f>IF(A26&lt;0,B26/$F$6,0)</f>
        <v/>
      </c>
      <c r="F26" s="371" t="n"/>
      <c r="G26" s="371" t="n"/>
      <c r="H26" s="371" t="n"/>
      <c r="I26" s="371" t="n"/>
      <c r="J26" s="372" t="n"/>
    </row>
    <row r="27" customFormat="1" s="96">
      <c r="A27" s="373">
        <f>A13</f>
        <v/>
      </c>
      <c r="B27" s="370">
        <f>B13</f>
        <v/>
      </c>
      <c r="C27" s="370">
        <f>IF(A27&lt;0,($F$6+A27)/$F$6,0)</f>
        <v/>
      </c>
      <c r="D27" s="370">
        <f>B27*C27</f>
        <v/>
      </c>
      <c r="E27" s="723">
        <f>IF(A27&lt;0,B27/$F$6,0)</f>
        <v/>
      </c>
      <c r="F27" s="371" t="n"/>
      <c r="G27" s="371" t="n"/>
      <c r="H27" s="371" t="n"/>
      <c r="I27" s="371" t="n"/>
      <c r="J27" s="372" t="n"/>
    </row>
    <row r="28" customFormat="1" s="96">
      <c r="A28" s="373">
        <f>A14</f>
        <v/>
      </c>
      <c r="B28" s="370">
        <f>B14</f>
        <v/>
      </c>
      <c r="C28" s="370">
        <f>IF(A28&lt;0,($F$6+A28)/$F$6,0)</f>
        <v/>
      </c>
      <c r="D28" s="370">
        <f>B28*C28</f>
        <v/>
      </c>
      <c r="E28" s="723">
        <f>IF(A28&lt;0,B28/$F$6,0)</f>
        <v/>
      </c>
      <c r="F28" s="371" t="n"/>
      <c r="G28" s="371" t="n"/>
      <c r="H28" s="371" t="n"/>
      <c r="I28" s="371" t="n"/>
      <c r="J28" s="372" t="n"/>
    </row>
    <row r="29" customFormat="1" s="96">
      <c r="A29" s="373">
        <f>A15</f>
        <v/>
      </c>
      <c r="B29" s="370">
        <f>B15</f>
        <v/>
      </c>
      <c r="C29" s="370">
        <f>IF(A29&lt;0,($F$6+A29)/$F$6,0)</f>
        <v/>
      </c>
      <c r="D29" s="370">
        <f>B29*C29</f>
        <v/>
      </c>
      <c r="E29" s="723">
        <f>IF(A29&lt;0,B29/$F$6,0)</f>
        <v/>
      </c>
      <c r="F29" s="371" t="n"/>
      <c r="G29" s="371" t="n"/>
      <c r="H29" s="371" t="n"/>
      <c r="I29" s="371" t="n"/>
      <c r="J29" s="372" t="n"/>
    </row>
    <row r="30" customFormat="1" s="96">
      <c r="A30" s="373">
        <f>A16</f>
        <v/>
      </c>
      <c r="B30" s="370">
        <f>B16</f>
        <v/>
      </c>
      <c r="C30" s="370">
        <f>IF(A30&lt;0,($F$6+A30)/$F$6,0)</f>
        <v/>
      </c>
      <c r="D30" s="370">
        <f>B30*C30</f>
        <v/>
      </c>
      <c r="E30" s="723">
        <f>IF(A30&lt;0,B30/$F$6,0)</f>
        <v/>
      </c>
      <c r="F30" s="371" t="n"/>
      <c r="G30" s="371" t="n"/>
      <c r="H30" s="371" t="n"/>
      <c r="I30" s="371" t="n"/>
      <c r="J30" s="372" t="n"/>
    </row>
    <row r="31" customFormat="1" s="96">
      <c r="A31" s="373">
        <f>A17</f>
        <v/>
      </c>
      <c r="B31" s="370">
        <f>B17</f>
        <v/>
      </c>
      <c r="C31" s="370">
        <f>IF(A31&lt;0,($F$6+A31)/$F$6,0)</f>
        <v/>
      </c>
      <c r="D31" s="370">
        <f>B31*C31</f>
        <v/>
      </c>
      <c r="E31" s="723">
        <f>IF(A31&lt;0,B31/$F$6,0)</f>
        <v/>
      </c>
      <c r="F31" s="371" t="n"/>
      <c r="G31" s="371" t="n"/>
      <c r="H31" s="371" t="n"/>
      <c r="I31" s="371" t="n"/>
      <c r="J31" s="372" t="n"/>
    </row>
    <row r="32" customFormat="1" s="96">
      <c r="A32" s="373">
        <f>A18</f>
        <v/>
      </c>
      <c r="B32" s="370">
        <f>B18</f>
        <v/>
      </c>
      <c r="C32" s="370">
        <f>IF(A32&lt;0,($F$6+A32)/$F$6,0)</f>
        <v/>
      </c>
      <c r="D32" s="370">
        <f>B32*C32</f>
        <v/>
      </c>
      <c r="E32" s="723">
        <f>IF(A32&lt;0,B32/$F$6,0)</f>
        <v/>
      </c>
      <c r="F32" s="371" t="n"/>
      <c r="G32" s="371" t="n"/>
      <c r="H32" s="371" t="n"/>
      <c r="I32" s="371" t="n"/>
      <c r="J32" s="372" t="n"/>
    </row>
    <row r="33" customFormat="1" s="96">
      <c r="A33" s="373">
        <f>A19</f>
        <v/>
      </c>
      <c r="B33" s="370">
        <f>B19</f>
        <v/>
      </c>
      <c r="C33" s="370">
        <f>IF(A33&lt;0,($F$6+A33)/$F$6,0)</f>
        <v/>
      </c>
      <c r="D33" s="370">
        <f>B33*C33</f>
        <v/>
      </c>
      <c r="E33" s="723">
        <f>IF(A33&lt;0,B33/$F$6,0)</f>
        <v/>
      </c>
      <c r="F33" s="371" t="n"/>
      <c r="G33" s="371" t="n"/>
      <c r="H33" s="371" t="n"/>
      <c r="I33" s="371" t="n"/>
      <c r="J33" s="372" t="n"/>
    </row>
    <row r="34" ht="16" customFormat="1" customHeight="1" s="96" thickBot="1">
      <c r="A34" s="373">
        <f>A20</f>
        <v/>
      </c>
      <c r="B34" s="370">
        <f>B20</f>
        <v/>
      </c>
      <c r="C34" s="370">
        <f>IF(A34&lt;0,($F$6+A34)/$F$6,0)</f>
        <v/>
      </c>
      <c r="D34" s="379">
        <f>B34*C34</f>
        <v/>
      </c>
      <c r="E34" s="724">
        <f>IF(A34&lt;0,B34/$F$6,0)</f>
        <v/>
      </c>
      <c r="F34" s="371" t="n"/>
      <c r="G34" s="371" t="n"/>
      <c r="H34" s="371" t="n"/>
      <c r="I34" s="371" t="n"/>
      <c r="J34" s="372" t="n"/>
    </row>
    <row r="35" ht="14" customFormat="1" customHeight="1" s="6" thickBot="1">
      <c r="A35" s="342" t="inlineStr">
        <is>
          <t>Value of Research Asset =</t>
        </is>
      </c>
      <c r="B35" s="342" t="n"/>
      <c r="C35" s="342" t="n"/>
      <c r="D35" s="725">
        <f>SUM(D24:D34)</f>
        <v/>
      </c>
      <c r="E35" s="725">
        <f>SUM(E25:E34)</f>
        <v/>
      </c>
      <c r="F35" s="342" t="n"/>
      <c r="G35" s="342" t="n"/>
      <c r="H35" s="342" t="n"/>
      <c r="I35" s="342" t="n"/>
      <c r="J35" s="342" t="n"/>
    </row>
    <row r="36" ht="14" customHeight="1" thickBot="1">
      <c r="D36" s="726" t="n"/>
      <c r="E36" s="726" t="n"/>
    </row>
    <row r="37" ht="14" customFormat="1" customHeight="1" s="6" thickBot="1">
      <c r="A37" s="342" t="inlineStr">
        <is>
          <t>Amortization of asset for current year =</t>
        </is>
      </c>
      <c r="B37" s="342" t="n"/>
      <c r="C37" s="342" t="n"/>
      <c r="D37" s="725">
        <f>E35</f>
        <v/>
      </c>
      <c r="E37" s="727" t="n"/>
      <c r="F37" s="342" t="n"/>
      <c r="G37" s="342" t="n"/>
      <c r="H37" s="342" t="n"/>
      <c r="I37" s="342" t="n"/>
      <c r="J37" s="342" t="n"/>
    </row>
    <row r="38" ht="14" customFormat="1" customHeight="1" s="6" thickBot="1">
      <c r="A38" s="342" t="n"/>
      <c r="B38" s="342" t="n"/>
      <c r="C38" s="342" t="n"/>
      <c r="D38" s="342" t="n"/>
      <c r="E38" s="342" t="n"/>
      <c r="F38" s="342" t="n"/>
      <c r="G38" s="342" t="n"/>
      <c r="H38" s="342" t="n"/>
      <c r="I38" s="342" t="n"/>
      <c r="J38" s="342" t="n"/>
    </row>
    <row r="39" customFormat="1" s="6">
      <c r="A39" s="342" t="inlineStr">
        <is>
          <t>Adjustment to Operating Income =</t>
        </is>
      </c>
      <c r="B39" s="342" t="n"/>
      <c r="C39" s="342" t="n"/>
      <c r="D39" s="728">
        <f>F7-D37</f>
        <v/>
      </c>
      <c r="E39" s="342" t="inlineStr">
        <is>
          <t>! A positive number indicates an increase in operating income (add to reported EBIT)</t>
        </is>
      </c>
      <c r="F39" s="342" t="n"/>
      <c r="G39" s="342" t="n"/>
      <c r="H39" s="342" t="n"/>
      <c r="I39" s="342" t="n"/>
      <c r="J39" s="342" t="n"/>
    </row>
    <row r="40" ht="14" customHeight="1">
      <c r="A40" s="340" t="inlineStr">
        <is>
          <t>Tax Effect of R&amp;D Expensing</t>
        </is>
      </c>
      <c r="D40" s="729">
        <f>D39*'Input sheet'!B24</f>
        <v/>
      </c>
      <c r="E40" s="342"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10" defaultRowHeight="13"/>
  <sheetData>
    <row r="1" ht="18" customFormat="1" customHeight="1" s="5">
      <c r="A1" s="15" t="inlineStr">
        <is>
          <t>Operating Lease Converter</t>
        </is>
      </c>
      <c r="B1" s="15" t="n"/>
      <c r="C1" s="15" t="n"/>
      <c r="D1" s="15" t="n"/>
      <c r="E1" s="15" t="n"/>
      <c r="F1" s="15" t="n"/>
      <c r="G1" s="15" t="n"/>
      <c r="H1" s="15" t="n"/>
      <c r="I1" s="15" t="n"/>
      <c r="J1" s="15" t="n"/>
      <c r="K1" s="15" t="n"/>
    </row>
    <row r="2" ht="19" customFormat="1" customHeight="1" s="5" thickBot="1">
      <c r="A2" s="15" t="inlineStr">
        <is>
          <t>The yellow cells are input cells. Please enter them.</t>
        </is>
      </c>
      <c r="B2" s="15" t="n"/>
      <c r="C2" s="15" t="n"/>
      <c r="D2" s="15" t="n"/>
      <c r="E2" s="15" t="n"/>
      <c r="F2" s="15" t="n"/>
      <c r="G2" s="15" t="n"/>
      <c r="H2" s="15" t="n"/>
      <c r="I2" s="15" t="n"/>
      <c r="J2" s="15" t="n"/>
      <c r="K2" s="15" t="n"/>
    </row>
    <row r="3" ht="13" customFormat="1" customHeight="1" s="11">
      <c r="A3" s="11" t="inlineStr">
        <is>
          <t>Inputs</t>
        </is>
      </c>
      <c r="H3" s="730"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630" t="n"/>
      <c r="J3" s="630" t="n"/>
      <c r="K3" s="630" t="n"/>
      <c r="L3" s="631" t="n"/>
    </row>
    <row r="4" customFormat="1" s="6">
      <c r="A4" s="6" t="inlineStr">
        <is>
          <t>Operating lease expense in current year =</t>
        </is>
      </c>
      <c r="E4" s="731" t="n">
        <v>295</v>
      </c>
      <c r="H4" s="679" t="n"/>
      <c r="L4" s="634" t="n"/>
    </row>
    <row r="5" customFormat="1" s="9">
      <c r="A5" s="9" t="inlineStr">
        <is>
          <t>Operating Lease Commitments (From footnote to financials)</t>
        </is>
      </c>
      <c r="H5" s="679" t="n"/>
      <c r="L5" s="634" t="n"/>
    </row>
    <row r="6" customFormat="1" s="6">
      <c r="A6" s="16" t="inlineStr">
        <is>
          <t>Year</t>
        </is>
      </c>
      <c r="B6" s="16" t="inlineStr">
        <is>
          <t>Commitment</t>
        </is>
      </c>
      <c r="C6" s="6" t="inlineStr">
        <is>
          <t>! Year 1 is next year, ….</t>
        </is>
      </c>
      <c r="H6" s="679" t="n"/>
      <c r="L6" s="634" t="n"/>
    </row>
    <row r="7" customFormat="1" s="6">
      <c r="A7" s="16" t="n">
        <v>1</v>
      </c>
      <c r="B7" s="732" t="n">
        <v>287</v>
      </c>
      <c r="H7" s="679" t="n"/>
      <c r="L7" s="634" t="n"/>
    </row>
    <row r="8" customFormat="1" s="6">
      <c r="A8" s="16" t="n">
        <v>2</v>
      </c>
      <c r="B8" s="732" t="n">
        <v>235</v>
      </c>
      <c r="H8" s="679" t="n"/>
      <c r="L8" s="634" t="n"/>
    </row>
    <row r="9" customFormat="1" s="6">
      <c r="A9" s="16" t="n">
        <v>3</v>
      </c>
      <c r="B9" s="732" t="n">
        <v>194</v>
      </c>
      <c r="H9" s="679" t="n"/>
      <c r="L9" s="634" t="n"/>
    </row>
    <row r="10" customFormat="1" s="6">
      <c r="A10" s="16" t="n">
        <v>4</v>
      </c>
      <c r="B10" s="732" t="n">
        <v>151</v>
      </c>
      <c r="H10" s="679" t="n"/>
      <c r="L10" s="634" t="n"/>
    </row>
    <row r="11" ht="14" customFormat="1" customHeight="1" s="6" thickBot="1">
      <c r="A11" s="16" t="n">
        <v>5</v>
      </c>
      <c r="B11" s="732" t="n">
        <v>98</v>
      </c>
      <c r="H11" s="716" t="n"/>
      <c r="I11" s="717" t="n"/>
      <c r="J11" s="717" t="n"/>
      <c r="K11" s="717" t="n"/>
      <c r="L11" s="718" t="n"/>
    </row>
    <row r="12" ht="14" customFormat="1" customHeight="1" s="6">
      <c r="A12" s="16" t="inlineStr">
        <is>
          <t>6 and beyond</t>
        </is>
      </c>
      <c r="B12" s="144" t="n">
        <v>605</v>
      </c>
    </row>
    <row r="13" customFormat="1" s="6"/>
    <row r="14" ht="17" customFormat="1" customHeight="1" s="17" thickBot="1">
      <c r="A14" s="17" t="inlineStr">
        <is>
          <t>Output</t>
        </is>
      </c>
    </row>
    <row r="15" ht="14" customFormat="1" customHeight="1" s="6" thickBot="1">
      <c r="A15" s="6" t="inlineStr">
        <is>
          <t>Pre-tax Cost of Debt =</t>
        </is>
      </c>
      <c r="C15" s="38">
        <f>'Cost of capital worksheet'!B37</f>
        <v/>
      </c>
      <c r="D15" s="6" t="inlineStr">
        <is>
          <t>! If you do not have a cost of debt, use the synthetic rating estimator</t>
        </is>
      </c>
    </row>
    <row r="16" customFormat="1" s="6"/>
    <row r="17" customFormat="1" s="6">
      <c r="D17" s="733" t="n"/>
    </row>
    <row r="18" customFormat="1" s="6">
      <c r="A18" s="6" t="inlineStr">
        <is>
          <t>Number of years embedded in yr 6 estimate =</t>
        </is>
      </c>
      <c r="D18" s="21">
        <f>IF(B12&gt;0,ROUND(B12/AVERAGE(B7:B11),0),0)</f>
        <v/>
      </c>
      <c r="E18" s="6" t="inlineStr">
        <is>
          <t>! I use the average lease expense over the first five years</t>
        </is>
      </c>
    </row>
    <row r="19" customFormat="1" s="11">
      <c r="E19" s="6" t="inlineStr">
        <is>
          <t>to estimate the number of years of expenses in yr 6</t>
        </is>
      </c>
    </row>
    <row r="20" customFormat="1" s="9">
      <c r="A20" s="9" t="inlineStr">
        <is>
          <t>Converting Operating Leases into debt</t>
        </is>
      </c>
    </row>
    <row r="21" customFormat="1" s="6">
      <c r="A21" s="16" t="inlineStr">
        <is>
          <t>Year</t>
        </is>
      </c>
      <c r="B21" s="16" t="inlineStr">
        <is>
          <t>Commitment</t>
        </is>
      </c>
      <c r="C21" s="16" t="inlineStr">
        <is>
          <t>Present Value</t>
        </is>
      </c>
    </row>
    <row r="22" customFormat="1" s="6">
      <c r="A22" s="12">
        <f>A7</f>
        <v/>
      </c>
      <c r="B22" s="734">
        <f>B7</f>
        <v/>
      </c>
      <c r="C22" s="735">
        <f>B22/(1+$C$15)^A22</f>
        <v/>
      </c>
    </row>
    <row r="23" customFormat="1" s="6">
      <c r="A23" s="12">
        <f>A8</f>
        <v/>
      </c>
      <c r="B23" s="734">
        <f>B8</f>
        <v/>
      </c>
      <c r="C23" s="735">
        <f>B23/(1+$C$15)^A23</f>
        <v/>
      </c>
    </row>
    <row r="24" customFormat="1" s="6">
      <c r="A24" s="12">
        <f>A9</f>
        <v/>
      </c>
      <c r="B24" s="734">
        <f>B9</f>
        <v/>
      </c>
      <c r="C24" s="735">
        <f>B24/(1+$C$15)^A24</f>
        <v/>
      </c>
    </row>
    <row r="25" customFormat="1" s="6">
      <c r="A25" s="12">
        <f>A10</f>
        <v/>
      </c>
      <c r="B25" s="734">
        <f>B10</f>
        <v/>
      </c>
      <c r="C25" s="735">
        <f>B25/(1+$C$15)^A25</f>
        <v/>
      </c>
    </row>
    <row r="26" customFormat="1" s="6">
      <c r="A26" s="12">
        <f>A11</f>
        <v/>
      </c>
      <c r="B26" s="734">
        <f>B11</f>
        <v/>
      </c>
      <c r="C26" s="735">
        <f>B26/(1+$C$15)^A26</f>
        <v/>
      </c>
    </row>
    <row r="27" ht="14" customFormat="1" customHeight="1" s="6" thickBot="1">
      <c r="A27" s="22">
        <f>A12</f>
        <v/>
      </c>
      <c r="B27" s="736">
        <f>IF(B12&gt;0,IF(D18&gt;0,B12/D18,B12),0)</f>
        <v/>
      </c>
      <c r="C27" s="737">
        <f>IF(D18&gt;0,(B27*(1-(1+C15)^(-D18))/C15)/(1+$C$15)^5,B27/(1+C15)^6)</f>
        <v/>
      </c>
      <c r="D27" s="6" t="inlineStr">
        <is>
          <t>! Commitment beyond year 6 converted into an annuity for ten years</t>
        </is>
      </c>
    </row>
    <row r="28" ht="14" customFormat="1" customHeight="1" s="6" thickBot="1">
      <c r="A28" s="18" t="inlineStr">
        <is>
          <t>Debt Value of leases =</t>
        </is>
      </c>
      <c r="B28" s="25" t="n"/>
      <c r="C28" s="738">
        <f>SUM(C22:C27)</f>
        <v/>
      </c>
    </row>
    <row r="29" customFormat="1" s="6"/>
    <row r="30" customFormat="1" s="6">
      <c r="A30" s="9" t="inlineStr">
        <is>
          <t>Restated Financials</t>
        </is>
      </c>
    </row>
    <row r="31" ht="14" customFormat="1" customHeight="1" s="6" thickBot="1">
      <c r="A31" s="6" t="inlineStr">
        <is>
          <t>Depreciation on Operating Lease Asset =</t>
        </is>
      </c>
      <c r="F31" s="737">
        <f>C28/(5+D18)</f>
        <v/>
      </c>
      <c r="G31" s="6" t="inlineStr">
        <is>
          <t>! I use straight line depreciation</t>
        </is>
      </c>
    </row>
    <row r="32" ht="14" customFormat="1" customHeight="1" s="6" thickBot="1">
      <c r="A32" s="6" t="inlineStr">
        <is>
          <t>Adjustment to Operating Earnings =</t>
        </is>
      </c>
      <c r="F32" s="739">
        <f>E4-F31</f>
        <v/>
      </c>
      <c r="G32" s="6" t="inlineStr">
        <is>
          <t>! Add this amount to pre-tax operating income</t>
        </is>
      </c>
    </row>
    <row r="33" ht="14" customFormat="1" customHeight="1" s="6" thickBot="1">
      <c r="A33" s="6" t="inlineStr">
        <is>
          <t>Adjustment to Total Debt outstanding =</t>
        </is>
      </c>
      <c r="F33" s="740">
        <f>C28</f>
        <v/>
      </c>
      <c r="G33" s="6" t="inlineStr">
        <is>
          <t>! Add this amount to debt</t>
        </is>
      </c>
    </row>
    <row r="34" ht="14" customHeight="1">
      <c r="A34" s="6" t="inlineStr">
        <is>
          <t>Adjustment to Depreciation =</t>
        </is>
      </c>
      <c r="F34" s="741">
        <f>C28/(5+D18)</f>
        <v/>
      </c>
    </row>
  </sheetData>
  <mergeCells count="1">
    <mergeCell ref="H3:L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1"/>
  <sheetViews>
    <sheetView topLeftCell="A45" workbookViewId="0">
      <selection activeCell="B11" sqref="B11"/>
    </sheetView>
  </sheetViews>
  <sheetFormatPr baseColWidth="10" defaultRowHeight="13"/>
  <cols>
    <col width="40.1640625" bestFit="1" customWidth="1" min="1" max="1"/>
    <col width="17.33203125" bestFit="1" customWidth="1" min="2" max="2"/>
    <col width="12.83203125" bestFit="1" customWidth="1" min="3" max="3"/>
    <col width="13.6640625" customWidth="1" min="4" max="4"/>
    <col width="12" customWidth="1" min="5" max="5"/>
    <col width="19.5" bestFit="1" customWidth="1" min="7" max="7"/>
    <col width="16.33203125" customWidth="1" min="8" max="8"/>
    <col width="18.1640625" bestFit="1" customWidth="1" min="11" max="11"/>
    <col width="17.5" customWidth="1" min="12" max="12"/>
  </cols>
  <sheetData>
    <row r="1">
      <c r="A1" s="589"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656" t="n"/>
      <c r="C1" s="656" t="n"/>
      <c r="D1" s="656" t="n"/>
      <c r="E1" s="656" t="n"/>
      <c r="F1" s="656" t="n"/>
      <c r="G1" s="656" t="n"/>
      <c r="H1" s="656" t="n"/>
      <c r="I1" s="656" t="n"/>
      <c r="J1" s="656" t="n"/>
      <c r="K1" s="657" t="n"/>
    </row>
    <row r="2">
      <c r="A2" s="661" t="n"/>
      <c r="B2" s="662" t="n"/>
      <c r="C2" s="662" t="n"/>
      <c r="D2" s="662" t="n"/>
      <c r="E2" s="662" t="n"/>
      <c r="F2" s="662" t="n"/>
      <c r="G2" s="662" t="n"/>
      <c r="H2" s="662" t="n"/>
      <c r="I2" s="662" t="n"/>
      <c r="J2" s="662" t="n"/>
      <c r="K2" s="663" t="n"/>
    </row>
    <row r="3" ht="19" customFormat="1" customHeight="1" s="59" thickBot="1">
      <c r="A3" s="590" t="inlineStr">
        <is>
          <t>Estimation of Current Cost of Capital</t>
        </is>
      </c>
      <c r="B3" s="656" t="n"/>
      <c r="C3" s="656" t="n"/>
      <c r="D3" s="656" t="n"/>
      <c r="E3" s="656" t="n"/>
      <c r="G3" s="72" t="inlineStr">
        <is>
          <t>Operating Countries ERP calculator</t>
        </is>
      </c>
    </row>
    <row r="4" ht="15" customFormat="1" customHeight="1" s="8">
      <c r="A4" s="742"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is>
      </c>
      <c r="B4" s="630" t="n"/>
      <c r="C4" s="630" t="n"/>
      <c r="D4" s="630" t="n"/>
      <c r="E4" s="631" t="n"/>
      <c r="F4" s="59" t="n"/>
      <c r="G4" s="83" t="inlineStr">
        <is>
          <t>Country</t>
        </is>
      </c>
      <c r="H4" s="83" t="inlineStr">
        <is>
          <t>Revenues</t>
        </is>
      </c>
      <c r="I4" s="83" t="inlineStr">
        <is>
          <t>ERP</t>
        </is>
      </c>
      <c r="J4" s="83" t="inlineStr">
        <is>
          <t>Weight</t>
        </is>
      </c>
      <c r="K4" s="83" t="inlineStr">
        <is>
          <t>Weighted ERP</t>
        </is>
      </c>
    </row>
    <row r="5" ht="15" customFormat="1" customHeight="1" s="6">
      <c r="A5" s="679" t="n"/>
      <c r="E5" s="634" t="n"/>
      <c r="F5" s="59" t="n"/>
      <c r="G5" s="81" t="inlineStr">
        <is>
          <t>United States</t>
        </is>
      </c>
      <c r="H5" s="81" t="n">
        <v>193636</v>
      </c>
      <c r="I5" s="66">
        <f>IF(H5=0,0,VLOOKUP(G5,'Country equity risk premiums'!$A$5:$D$195,4))</f>
        <v/>
      </c>
      <c r="J5" s="66">
        <f>IF(H5&gt;0,H5/$H$18,)</f>
        <v/>
      </c>
      <c r="K5" s="66">
        <f>IF(J5=0,0,I5*J5)</f>
        <v/>
      </c>
      <c r="M5" s="588"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6" ht="15" customFormat="1" customHeight="1" s="6">
      <c r="A6" s="679" t="n"/>
      <c r="E6" s="634" t="n"/>
      <c r="F6" s="59" t="n"/>
      <c r="G6" s="81" t="inlineStr">
        <is>
          <t>Germany</t>
        </is>
      </c>
      <c r="H6" s="81" t="n">
        <v>22232</v>
      </c>
      <c r="I6" s="66">
        <f>IF(H6=0,0,VLOOKUP(G6,'Country equity risk premiums'!$A$5:$D$195,4))</f>
        <v/>
      </c>
      <c r="J6" s="66">
        <f>IF(H6&gt;0,H6/$H$18,)</f>
        <v/>
      </c>
      <c r="K6" s="66">
        <f>IF(J6=0,0,I6*J6)</f>
        <v/>
      </c>
    </row>
    <row r="7" ht="15" customFormat="1" customHeight="1" s="6">
      <c r="A7" s="679" t="n"/>
      <c r="E7" s="634" t="n"/>
      <c r="F7" s="59" t="n"/>
      <c r="G7" s="81" t="inlineStr">
        <is>
          <t>Australia</t>
        </is>
      </c>
      <c r="H7" s="81" t="n">
        <v>17527</v>
      </c>
      <c r="I7" s="66">
        <f>IF(H7=0,0,VLOOKUP(G7,'Country equity risk premiums'!$A$5:$D$195,4))</f>
        <v/>
      </c>
      <c r="J7" s="66">
        <f>IF(H7&gt;0,H7/$H$18,)</f>
        <v/>
      </c>
      <c r="K7" s="66">
        <f>IF(J7=0,0,I7*J7)</f>
        <v/>
      </c>
    </row>
    <row r="8" ht="15" customFormat="1" customHeight="1" s="6">
      <c r="A8" s="679" t="n"/>
      <c r="E8" s="634" t="n"/>
      <c r="F8" s="59" t="n"/>
      <c r="G8" s="81" t="inlineStr">
        <is>
          <t>Brazil</t>
        </is>
      </c>
      <c r="H8" s="81" t="n">
        <v>16002</v>
      </c>
      <c r="I8" s="66">
        <f>IF(H8=0,0,VLOOKUP(G8,'Country equity risk premiums'!$A$5:$D$195,4))</f>
        <v/>
      </c>
      <c r="J8" s="66">
        <f>IF(H8&gt;0,H8/$H$18,)</f>
        <v/>
      </c>
      <c r="K8" s="66">
        <f>IF(J8=0,0,I8*J8)</f>
        <v/>
      </c>
    </row>
    <row r="9" ht="15" customFormat="1" customHeight="1" s="6" thickBot="1">
      <c r="A9" s="716" t="n"/>
      <c r="B9" s="717" t="n"/>
      <c r="C9" s="717" t="n"/>
      <c r="D9" s="717" t="n"/>
      <c r="E9" s="718" t="n"/>
      <c r="F9" s="59" t="n"/>
      <c r="G9" s="81" t="n"/>
      <c r="H9" s="81" t="n"/>
      <c r="I9" s="66">
        <f>IF(H9=0,0,VLOOKUP(G9,'Country equity risk premiums'!$A$5:$D$195,4))</f>
        <v/>
      </c>
      <c r="J9" s="66">
        <f>IF(H9&gt;0,H9/$H$18,)</f>
        <v/>
      </c>
      <c r="K9" s="66">
        <f>IF(J9=0,0,I9*J9)</f>
        <v/>
      </c>
    </row>
    <row r="10" ht="15" customFormat="1" customHeight="1" s="6">
      <c r="A10" s="197" t="n"/>
      <c r="B10" s="197" t="n"/>
      <c r="C10" s="197" t="n"/>
      <c r="D10" s="197" t="n"/>
      <c r="E10" s="197" t="n"/>
      <c r="F10" s="59" t="n"/>
      <c r="G10" s="81" t="n"/>
      <c r="H10" s="81" t="n"/>
      <c r="I10" s="66">
        <f>IF(H10=0,0,VLOOKUP(G10,'Country equity risk premiums'!$A$5:$D$195,4))</f>
        <v/>
      </c>
      <c r="J10" s="66">
        <f>IF(H10&gt;0,H10/$H$18,)</f>
        <v/>
      </c>
      <c r="K10" s="66">
        <f>IF(J10=0,0,I10*J10)</f>
        <v/>
      </c>
    </row>
    <row r="11" ht="15" customFormat="1" customHeight="1" s="6">
      <c r="A11" s="197" t="inlineStr">
        <is>
          <t>Which approach will you be using?</t>
        </is>
      </c>
      <c r="B11" s="198" t="inlineStr">
        <is>
          <t>Industry Average</t>
        </is>
      </c>
      <c r="C11" s="197" t="n"/>
      <c r="D11" s="197" t="n"/>
      <c r="E11" s="197" t="n"/>
      <c r="F11" s="59" t="n"/>
      <c r="G11" s="81" t="n"/>
      <c r="H11" s="81" t="n"/>
      <c r="I11" s="66">
        <f>IF(H11=0,0,VLOOKUP(G11,'Country equity risk premiums'!$A$5:$D$195,4))</f>
        <v/>
      </c>
      <c r="J11" s="66">
        <f>IF(H11&gt;0,H11/$H$18,)</f>
        <v/>
      </c>
      <c r="K11" s="66">
        <f>IF(J11=0,0,I11*J11)</f>
        <v/>
      </c>
    </row>
    <row r="12" ht="15" customFormat="1" customHeight="1" s="6">
      <c r="A12" s="197" t="inlineStr">
        <is>
          <t>If direct input, enter cost of capital to use</t>
        </is>
      </c>
      <c r="B12" s="199" t="n">
        <v>0.09</v>
      </c>
      <c r="C12" s="197" t="n"/>
      <c r="D12" s="197" t="n"/>
      <c r="E12" s="197" t="n"/>
      <c r="F12" s="59" t="n"/>
      <c r="G12" s="81" t="n"/>
      <c r="H12" s="81" t="n"/>
      <c r="I12" s="66">
        <f>IF(H12=0,0,VLOOKUP(G12,'Country equity risk premiums'!$A$5:$D$195,4))</f>
        <v/>
      </c>
      <c r="J12" s="66">
        <f>IF(H12&gt;0,H12/$H$18,)</f>
        <v/>
      </c>
      <c r="K12" s="66">
        <f>IF(J12=0,0,I12*J12)</f>
        <v/>
      </c>
    </row>
    <row r="13" ht="15" customFormat="1" customHeight="1" s="6">
      <c r="A13" s="197" t="inlineStr">
        <is>
          <t>Cost of capital based upon approach =</t>
        </is>
      </c>
      <c r="B13" s="200">
        <f>IF(B11="I will input",B12,IF(B11="Detailed",E62,IF(B11="Industry Average",B67,B72)))</f>
        <v/>
      </c>
      <c r="C13" s="197" t="n"/>
      <c r="D13" s="197" t="n"/>
      <c r="E13" s="197" t="n"/>
      <c r="F13" s="59" t="n"/>
      <c r="G13" s="81" t="n"/>
      <c r="H13" s="81" t="n"/>
      <c r="I13" s="66">
        <f>IF(H13=0,0,VLOOKUP(G13,'Country equity risk premiums'!$A$5:$D$195,4))</f>
        <v/>
      </c>
      <c r="J13" s="66">
        <f>IF(H13&gt;0,H13/$H$18,)</f>
        <v/>
      </c>
      <c r="K13" s="66">
        <f>IF(J13=0,0,I13*J13)</f>
        <v/>
      </c>
    </row>
    <row r="14" ht="15" customFormat="1" customHeight="1" s="6" thickBot="1">
      <c r="A14" s="197" t="n"/>
      <c r="B14" s="197" t="n"/>
      <c r="C14" s="197" t="n"/>
      <c r="D14" s="197" t="n"/>
      <c r="E14" s="197" t="n"/>
      <c r="F14" s="59" t="n"/>
      <c r="G14" s="81" t="n"/>
      <c r="H14" s="81" t="n"/>
      <c r="I14" s="66">
        <f>IF(H14=0,0,VLOOKUP(G14,'Country equity risk premiums'!$A$5:$D$195,4))</f>
        <v/>
      </c>
      <c r="J14" s="66">
        <f>IF(H14&gt;0,H14/$H$18,)</f>
        <v/>
      </c>
      <c r="K14" s="66">
        <f>IF(J14=0,0,I14*J14)</f>
        <v/>
      </c>
    </row>
    <row r="15" ht="15" customFormat="1" customHeight="1" s="6" thickBot="1">
      <c r="A15" s="743" t="inlineStr">
        <is>
          <t>Approach 1: Detailed Cost of Capital</t>
        </is>
      </c>
      <c r="B15" s="620" t="n"/>
      <c r="C15" s="620" t="n"/>
      <c r="D15" s="620" t="n"/>
      <c r="E15" s="620" t="n"/>
      <c r="F15" s="621" t="n"/>
      <c r="G15" s="81" t="n"/>
      <c r="H15" s="81" t="n"/>
      <c r="I15" s="66">
        <f>IF(H15=0,0,VLOOKUP(G15,'Country equity risk premiums'!$A$5:$D$195,4))</f>
        <v/>
      </c>
      <c r="J15" s="66">
        <f>IF(H15&gt;0,H15/$H$18,)</f>
        <v/>
      </c>
      <c r="K15" s="66">
        <f>IF(J15=0,0,I15*J15)</f>
        <v/>
      </c>
    </row>
    <row r="16" ht="15" customFormat="1" customHeight="1" s="6">
      <c r="A16" s="8" t="inlineStr">
        <is>
          <t>Inputs</t>
        </is>
      </c>
      <c r="B16" s="188" t="n"/>
      <c r="C16" s="108" t="n"/>
      <c r="D16" s="8" t="n"/>
      <c r="E16" s="8" t="n"/>
      <c r="F16" s="8" t="n"/>
      <c r="G16" s="141" t="inlineStr">
        <is>
          <t>Rest of the World</t>
        </is>
      </c>
      <c r="H16" s="81" t="n">
        <v>31335</v>
      </c>
      <c r="I16" s="147" t="n">
        <v>0.0641</v>
      </c>
      <c r="J16" s="66">
        <f>IF(H16&gt;0,H16/$H$18,)</f>
        <v/>
      </c>
      <c r="K16" s="66">
        <f>IF(J16=0,0,I16*J16)</f>
        <v/>
      </c>
    </row>
    <row r="17" ht="15" customFormat="1" customHeight="1" s="6">
      <c r="A17" s="11" t="inlineStr">
        <is>
          <t>Equity</t>
        </is>
      </c>
      <c r="B17" s="189" t="n"/>
      <c r="G17" s="141" t="n"/>
      <c r="H17" s="81" t="n"/>
      <c r="I17" s="141" t="n"/>
      <c r="J17" s="66">
        <f>IF(H17&gt;0,H17/$H$18,)</f>
        <v/>
      </c>
      <c r="K17" s="66">
        <f>IF(J17=0,0,I17*J17)</f>
        <v/>
      </c>
    </row>
    <row r="18" ht="15" customFormat="1" customHeight="1" s="6">
      <c r="A18" s="6" t="inlineStr">
        <is>
          <t>Number of Shares outstanding =</t>
        </is>
      </c>
      <c r="B18" s="63">
        <f>'Input sheet'!B21</f>
        <v/>
      </c>
      <c r="G18" s="82" t="inlineStr">
        <is>
          <t>Total</t>
        </is>
      </c>
      <c r="H18" s="82">
        <f>SUM(H5:H17)</f>
        <v/>
      </c>
      <c r="I18" s="82" t="n"/>
      <c r="J18" s="66">
        <f>SUM(J5:J17)</f>
        <v/>
      </c>
      <c r="K18" s="66">
        <f>SUM(K5:K17)</f>
        <v/>
      </c>
    </row>
    <row r="19" ht="15" customFormat="1" customHeight="1" s="6">
      <c r="A19" s="6" t="inlineStr">
        <is>
          <t>Current Market Price per share =</t>
        </is>
      </c>
      <c r="B19" s="744">
        <f>'Input sheet'!B22</f>
        <v/>
      </c>
      <c r="G19" s="72" t="inlineStr">
        <is>
          <t>Operating Regions ERP calculator</t>
        </is>
      </c>
    </row>
    <row r="20" ht="15" customFormat="1" customHeight="1" s="6">
      <c r="G20" s="12" t="inlineStr">
        <is>
          <t>Region</t>
        </is>
      </c>
      <c r="H20" s="12" t="inlineStr">
        <is>
          <t>Revenues</t>
        </is>
      </c>
      <c r="I20" s="12" t="inlineStr">
        <is>
          <t>ERP</t>
        </is>
      </c>
      <c r="J20" s="12" t="inlineStr">
        <is>
          <t>Weight</t>
        </is>
      </c>
      <c r="K20" s="12" t="inlineStr">
        <is>
          <t>Weighted ERP</t>
        </is>
      </c>
    </row>
    <row r="21" ht="15" customFormat="1" customHeight="1" s="6">
      <c r="A21" s="6" t="inlineStr">
        <is>
          <t>Approach for estimating beta</t>
        </is>
      </c>
      <c r="B21" s="81" t="inlineStr">
        <is>
          <t>Single Business(US)</t>
        </is>
      </c>
      <c r="G21" s="12">
        <f>'Country equity risk premiums'!A201</f>
        <v/>
      </c>
      <c r="H21" s="81" t="n"/>
      <c r="I21" s="13">
        <f>'Country equity risk premiums'!B201</f>
        <v/>
      </c>
      <c r="J21" s="66">
        <f>H21/$H$32</f>
        <v/>
      </c>
      <c r="K21" s="745">
        <f>I21*J21</f>
        <v/>
      </c>
    </row>
    <row r="22" ht="15" customFormat="1" customHeight="1" s="6">
      <c r="A22" s="6" t="inlineStr">
        <is>
          <t>If direct input, enter levered beta (or regression beta)</t>
        </is>
      </c>
      <c r="B22" s="109" t="n">
        <v>1.2</v>
      </c>
      <c r="G22" s="12">
        <f>'Country equity risk premiums'!A202</f>
        <v/>
      </c>
      <c r="H22" s="81" t="n">
        <v>36154</v>
      </c>
      <c r="I22" s="13">
        <f>'Country equity risk premiums'!B202</f>
        <v/>
      </c>
      <c r="J22" s="66">
        <f>H22/$H$32</f>
        <v/>
      </c>
      <c r="K22" s="745">
        <f>I22*J22</f>
        <v/>
      </c>
    </row>
    <row r="23" ht="15" customFormat="1" customHeight="1" s="6">
      <c r="A23" s="6" t="inlineStr">
        <is>
          <t>Unlevered beta =</t>
        </is>
      </c>
      <c r="B23" s="86">
        <f>IF(B21="Single Business(US)",VLOOKUP('Input sheet'!B8,'Industry Averages(US)'!A2:G95,7),IF(B21="Multibusiness(US)",K48,IF(B21="Single Business(Global)",VLOOKUP('Input sheet'!B9,'Industry Average Beta (Global)'!A2:G95,7),'Cost of capital worksheet'!K64)))</f>
        <v/>
      </c>
      <c r="G23" s="12">
        <f>'Country equity risk premiums'!A203</f>
        <v/>
      </c>
      <c r="H23" s="81" t="n"/>
      <c r="I23" s="13">
        <f>'Country equity risk premiums'!B203</f>
        <v/>
      </c>
      <c r="J23" s="66">
        <f>H23/$H$32</f>
        <v/>
      </c>
      <c r="K23" s="745">
        <f>I23*J23</f>
        <v/>
      </c>
    </row>
    <row r="24" ht="15" customFormat="1" customHeight="1" s="6">
      <c r="A24" s="6" t="inlineStr">
        <is>
          <t>Riskfree Rate =</t>
        </is>
      </c>
      <c r="B24" s="68">
        <f>'Input sheet'!B34</f>
        <v/>
      </c>
      <c r="G24" s="12">
        <f>'Country equity risk premiums'!A204</f>
        <v/>
      </c>
      <c r="H24" s="81" t="n"/>
      <c r="I24" s="13">
        <f>'Country equity risk premiums'!B204</f>
        <v/>
      </c>
      <c r="J24" s="66">
        <f>H24/$H$32</f>
        <v/>
      </c>
      <c r="K24" s="745">
        <f>I24*J24</f>
        <v/>
      </c>
    </row>
    <row r="25" ht="15" customFormat="1" customHeight="1" s="6">
      <c r="A25" s="6" t="inlineStr">
        <is>
          <t>What approach do you want to use to input ERP?</t>
        </is>
      </c>
      <c r="B25" s="104" t="inlineStr">
        <is>
          <t>Operating regions</t>
        </is>
      </c>
      <c r="G25" s="12">
        <f>'Country equity risk premiums'!A205</f>
        <v/>
      </c>
      <c r="H25" s="81" t="n"/>
      <c r="I25" s="13">
        <f>'Country equity risk premiums'!B205</f>
        <v/>
      </c>
      <c r="J25" s="66">
        <f>H25/$H$32</f>
        <v/>
      </c>
      <c r="K25" s="745">
        <f>I25*J25</f>
        <v/>
      </c>
    </row>
    <row r="26" ht="15" customFormat="1" customHeight="1" s="6">
      <c r="A26" s="6" t="inlineStr">
        <is>
          <t>Direct input for ERP (if you choose "will input"</t>
        </is>
      </c>
      <c r="B26" s="104" t="n">
        <v>0.06</v>
      </c>
      <c r="G26" s="12">
        <f>'Country equity risk premiums'!A206</f>
        <v/>
      </c>
      <c r="H26" s="81" t="n"/>
      <c r="I26" s="13">
        <f>'Country equity risk premiums'!B206</f>
        <v/>
      </c>
      <c r="J26" s="66">
        <f>H26/$H$32</f>
        <v/>
      </c>
      <c r="K26" s="745">
        <f>I26*J26</f>
        <v/>
      </c>
    </row>
    <row r="27" ht="15" customFormat="1" customHeight="1" s="6">
      <c r="A27" s="6" t="inlineStr">
        <is>
          <t>Equity Risk Premium used in cost of equity =</t>
        </is>
      </c>
      <c r="B27" s="105">
        <f>IF(B25="Will Input",B26,IF(B25="Country of Incorporation",VLOOKUP('Input sheet'!B7,'Country equity risk premiums'!A5:E181,4),IF(B25="Operating regions",'Cost of capital worksheet'!K32,'Cost of capital worksheet'!K18)))</f>
        <v/>
      </c>
      <c r="G27" s="12">
        <f>'Country equity risk premiums'!A207</f>
        <v/>
      </c>
      <c r="H27" s="81" t="n"/>
      <c r="I27" s="13">
        <f>'Country equity risk premiums'!B207</f>
        <v/>
      </c>
      <c r="J27" s="66">
        <f>H27/$H$32</f>
        <v/>
      </c>
      <c r="K27" s="745">
        <f>I27*J27</f>
        <v/>
      </c>
    </row>
    <row r="28" ht="15" customFormat="1" customHeight="1" s="6">
      <c r="G28" s="12">
        <f>'Country equity risk premiums'!A208</f>
        <v/>
      </c>
      <c r="H28" s="81">
        <f>49780+3108</f>
        <v/>
      </c>
      <c r="I28" s="13">
        <f>'Country equity risk premiums'!B208</f>
        <v/>
      </c>
      <c r="J28" s="66">
        <f>H28/$H$32</f>
        <v/>
      </c>
      <c r="K28" s="745">
        <f>I28*J28</f>
        <v/>
      </c>
    </row>
    <row r="29" ht="15" customFormat="1" customHeight="1" s="6">
      <c r="A29" s="11" t="inlineStr">
        <is>
          <t>Debt</t>
        </is>
      </c>
      <c r="G29" s="12">
        <f>'Country equity risk premiums'!A209</f>
        <v/>
      </c>
      <c r="H29" s="81" t="n">
        <v>31210</v>
      </c>
      <c r="I29" s="13">
        <f>'Country equity risk premiums'!B209</f>
        <v/>
      </c>
      <c r="J29" s="66">
        <f>H29/$H$32</f>
        <v/>
      </c>
      <c r="K29" s="745">
        <f>I29*J29</f>
        <v/>
      </c>
    </row>
    <row r="30" ht="15" customFormat="1" customHeight="1" s="6">
      <c r="A30" s="6" t="inlineStr">
        <is>
          <t>Book Value of Straight Debt =</t>
        </is>
      </c>
      <c r="B30" s="744">
        <f>'Input sheet'!B15</f>
        <v/>
      </c>
      <c r="G30" s="81" t="n"/>
      <c r="H30" s="81">
        <f>14650</f>
        <v/>
      </c>
      <c r="I30" s="142" t="n">
        <v>0.0641</v>
      </c>
      <c r="J30" s="66">
        <f>H30/$H$32</f>
        <v/>
      </c>
      <c r="K30" s="745">
        <f>I30*J30</f>
        <v/>
      </c>
    </row>
    <row r="31" ht="15" customFormat="1" customHeight="1" s="6">
      <c r="A31" s="6" t="inlineStr">
        <is>
          <t>Interest Expense on Debt =</t>
        </is>
      </c>
      <c r="B31" s="744">
        <f>'Input sheet'!B13</f>
        <v/>
      </c>
      <c r="G31" s="81" t="n"/>
      <c r="H31" s="81" t="n"/>
      <c r="I31" s="142" t="n"/>
      <c r="J31" s="66">
        <f>H31/$H$32</f>
        <v/>
      </c>
      <c r="K31" s="745">
        <f>I31*J31</f>
        <v/>
      </c>
    </row>
    <row r="32" ht="15" customFormat="1" customHeight="1" s="6">
      <c r="A32" s="6" t="inlineStr">
        <is>
          <t>Average Maturity =</t>
        </is>
      </c>
      <c r="B32" s="60" t="n">
        <v>3</v>
      </c>
      <c r="G32" s="82" t="inlineStr">
        <is>
          <t>Total</t>
        </is>
      </c>
      <c r="H32" s="82">
        <f>SUM(H21:H31)</f>
        <v/>
      </c>
      <c r="I32" s="68" t="n"/>
      <c r="J32" s="66">
        <f>SUM(J21:J31)</f>
        <v/>
      </c>
      <c r="K32" s="746">
        <f>SUM(K21:K31)</f>
        <v/>
      </c>
    </row>
    <row r="33" ht="15" customFormat="1" customHeight="1" s="6">
      <c r="A33" s="6" t="inlineStr">
        <is>
          <t>Approach for estimating pre-tax cost of debt</t>
        </is>
      </c>
      <c r="B33" s="75" t="inlineStr">
        <is>
          <t>Actual rating</t>
        </is>
      </c>
    </row>
    <row r="34" ht="15" customFormat="1" customHeight="1" s="6">
      <c r="A34" s="6" t="inlineStr">
        <is>
          <t>If direct input, input the pre-tax cost of debt</t>
        </is>
      </c>
      <c r="B34" s="747" t="n">
        <v>0.04</v>
      </c>
      <c r="G34" s="59" t="inlineStr">
        <is>
          <t>Multi Business (US Industry Averages)</t>
        </is>
      </c>
    </row>
    <row r="35" ht="15" customFormat="1" customHeight="1" s="6">
      <c r="A35" s="6" t="inlineStr">
        <is>
          <t>If actual rating, input the rating</t>
        </is>
      </c>
      <c r="B35" s="75" t="inlineStr">
        <is>
          <t>A1/A+</t>
        </is>
      </c>
      <c r="G35" s="12" t="inlineStr">
        <is>
          <t>Business</t>
        </is>
      </c>
      <c r="H35" s="12" t="inlineStr">
        <is>
          <t>Revenues</t>
        </is>
      </c>
      <c r="I35" s="12" t="inlineStr">
        <is>
          <t>EV/Sales</t>
        </is>
      </c>
      <c r="J35" s="12" t="inlineStr">
        <is>
          <t>Estimated Value</t>
        </is>
      </c>
      <c r="K35" s="12" t="inlineStr">
        <is>
          <t>Unlevered Beta</t>
        </is>
      </c>
      <c r="L35" s="12" t="inlineStr">
        <is>
          <t>Cost of capital</t>
        </is>
      </c>
    </row>
    <row r="36" ht="15" customFormat="1" customHeight="1" s="6">
      <c r="A36" s="6" t="inlineStr">
        <is>
          <t>If synethetic rating, input the type of company</t>
        </is>
      </c>
      <c r="B36" s="75" t="n">
        <v>2</v>
      </c>
      <c r="G36" s="81" t="inlineStr">
        <is>
          <t>Retail (General)</t>
        </is>
      </c>
      <c r="H36" s="748" t="n">
        <v>195010</v>
      </c>
      <c r="I36" s="749">
        <f>IF(G36=0,,VLOOKUP(G36,'Industry Averages(US)'!$A$2:$S$95,15))</f>
        <v/>
      </c>
      <c r="J36" s="750">
        <f>H36*I36</f>
        <v/>
      </c>
      <c r="K36" s="751">
        <f>IF(I36=0,0,VLOOKUP(G36,'Industry Averages(US)'!$A$2:$S$95,7))</f>
        <v/>
      </c>
      <c r="L36" s="193">
        <f>IF(I36=0,0,VLOOKUP(G36,'Industry Averages(US)'!$A$2:$S$95,13))</f>
        <v/>
      </c>
    </row>
    <row r="37" ht="15" customFormat="1" customHeight="1" s="6">
      <c r="A37" s="6" t="inlineStr">
        <is>
          <t>Pre-tax Cost of Debt =</t>
        </is>
      </c>
      <c r="B37" s="105">
        <f>IF(B33="Direct Input",B34,IF(B33="Synthetic Rating",'Synthetic rating'!D16,B24+VLOOKUP('Cost of capital worksheet'!B35,'Synthetic rating'!G42:H56,2)))</f>
        <v/>
      </c>
      <c r="G37" s="81" t="inlineStr">
        <is>
          <t>Entertainment</t>
        </is>
      </c>
      <c r="H37" s="748" t="n">
        <v>19210</v>
      </c>
      <c r="I37" s="749">
        <f>IF(G37=0,,VLOOKUP(G37,'Industry Averages(US)'!$A$2:$S$95,15))</f>
        <v/>
      </c>
      <c r="J37" s="750">
        <f>H37*I37</f>
        <v/>
      </c>
      <c r="K37" s="751">
        <f>IF(I37=0,0,VLOOKUP(G37,'Industry Averages(US)'!$A$2:$S$95,7))</f>
        <v/>
      </c>
      <c r="L37" s="193">
        <f>IF(I37=0,0,VLOOKUP(G37,'Industry Averages(US)'!$A$2:$S$95,13))</f>
        <v/>
      </c>
    </row>
    <row r="38" ht="15" customFormat="1" customHeight="1" s="6">
      <c r="A38" s="6" t="inlineStr">
        <is>
          <t>Tax Rate =</t>
        </is>
      </c>
      <c r="B38" s="107">
        <f>'Input sheet'!B24</f>
        <v/>
      </c>
      <c r="G38" s="81" t="inlineStr">
        <is>
          <t>Computer Services</t>
        </is>
      </c>
      <c r="H38" s="748" t="n">
        <v>35026</v>
      </c>
      <c r="I38" s="749">
        <f>IF(G38=0,,VLOOKUP(G38,'Industry Averages(US)'!$A$2:$S$95,15))</f>
        <v/>
      </c>
      <c r="J38" s="750">
        <f>H38*I38</f>
        <v/>
      </c>
      <c r="K38" s="751">
        <f>IF(I38=0,0,VLOOKUP(G38,'Industry Averages(US)'!$A$2:$S$95,7))</f>
        <v/>
      </c>
      <c r="L38" s="193">
        <f>IF(I38=0,0,VLOOKUP(G38,'Industry Averages(US)'!$A$2:$S$95,13))</f>
        <v/>
      </c>
    </row>
    <row r="39" ht="15" customFormat="1" customHeight="1" s="6">
      <c r="G39" s="81" t="inlineStr">
        <is>
          <t>Advertising</t>
        </is>
      </c>
      <c r="H39" s="748" t="n">
        <v>14100</v>
      </c>
      <c r="I39" s="749">
        <f>IF(G39=0,,VLOOKUP(G39,'Industry Averages(US)'!$A$2:$S$95,15))</f>
        <v/>
      </c>
      <c r="J39" s="750">
        <f>H39*I39</f>
        <v/>
      </c>
      <c r="K39" s="751">
        <f>IF(I39=0,0,VLOOKUP(G39,'Industry Averages(US)'!$A$2:$S$95,7))</f>
        <v/>
      </c>
      <c r="L39" s="193">
        <f>IF(I39=0,0,VLOOKUP(G39,'Industry Averages(US)'!$A$2:$S$95,13))</f>
        <v/>
      </c>
    </row>
    <row r="40" ht="15" customFormat="1" customHeight="1" s="61">
      <c r="A40" s="6" t="inlineStr">
        <is>
          <t>Book Value of Convertible Debt =</t>
        </is>
      </c>
      <c r="B40" s="60" t="n">
        <v>0</v>
      </c>
      <c r="C40" s="6" t="n"/>
      <c r="D40" s="6" t="n"/>
      <c r="E40" s="6" t="n"/>
      <c r="F40" s="6" t="n"/>
      <c r="G40" s="81" t="n"/>
      <c r="H40" s="748" t="n"/>
      <c r="I40" s="749">
        <f>IF(G40=0,,VLOOKUP(G40,'Industry Averages(US)'!$A$2:$S$95,15))</f>
        <v/>
      </c>
      <c r="J40" s="750">
        <f>H40*I40</f>
        <v/>
      </c>
      <c r="K40" s="751">
        <f>IF(I40=0,0,VLOOKUP(G40,'Industry Averages(US)'!$A$2:$S$95,7))</f>
        <v/>
      </c>
      <c r="L40" s="193">
        <f>IF(I40=0,0,VLOOKUP(G40,'Industry Averages(US)'!$A$2:$S$95,13))</f>
        <v/>
      </c>
    </row>
    <row r="41" ht="15" customFormat="1" customHeight="1" s="6">
      <c r="A41" s="6" t="inlineStr">
        <is>
          <t>Interest Expense on Convertible =</t>
        </is>
      </c>
      <c r="B41" s="60" t="n">
        <v>0</v>
      </c>
      <c r="G41" s="81" t="n"/>
      <c r="H41" s="748" t="n"/>
      <c r="I41" s="749">
        <f>IF(G41=0,,VLOOKUP(G41,'Industry Averages(US)'!$A$2:$S$95,15))</f>
        <v/>
      </c>
      <c r="J41" s="750">
        <f>H41*I41</f>
        <v/>
      </c>
      <c r="K41" s="751">
        <f>IF(I41=0,0,VLOOKUP(G41,'Industry Averages(US)'!$A$2:$S$95,7))</f>
        <v/>
      </c>
      <c r="L41" s="193">
        <f>IF(I41=0,0,VLOOKUP(G41,'Industry Averages(US)'!$A$2:$S$95,13))</f>
        <v/>
      </c>
    </row>
    <row r="42" ht="15" customFormat="1" customHeight="1" s="6">
      <c r="A42" s="6" t="inlineStr">
        <is>
          <t>Maturity of Convertible Bond =</t>
        </is>
      </c>
      <c r="B42" s="60" t="n">
        <v>0</v>
      </c>
      <c r="G42" s="81" t="n"/>
      <c r="H42" s="748" t="n"/>
      <c r="I42" s="749">
        <f>IF(G42=0,,VLOOKUP(G42,'Industry Averages(US)'!$A$2:$S$95,15))</f>
        <v/>
      </c>
      <c r="J42" s="750">
        <f>H42*I42</f>
        <v/>
      </c>
      <c r="K42" s="751">
        <f>IF(I42=0,0,VLOOKUP(G42,'Industry Averages(US)'!$A$2:$S$95,7))</f>
        <v/>
      </c>
      <c r="L42" s="193">
        <f>IF(I42=0,0,VLOOKUP(G42,'Industry Averages(US)'!$A$2:$S$95,13))</f>
        <v/>
      </c>
    </row>
    <row r="43" ht="15" customFormat="1" customHeight="1" s="6">
      <c r="A43" s="6" t="inlineStr">
        <is>
          <t>Market Value of Convertible =</t>
        </is>
      </c>
      <c r="B43" s="60" t="n">
        <v>0</v>
      </c>
      <c r="G43" s="81" t="n"/>
      <c r="H43" s="748" t="n"/>
      <c r="I43" s="749">
        <f>IF(G43=0,,VLOOKUP(G43,'Industry Averages(US)'!$A$2:$S$95,15))</f>
        <v/>
      </c>
      <c r="J43" s="750">
        <f>H43*I43</f>
        <v/>
      </c>
      <c r="K43" s="751">
        <f>IF(I43=0,0,VLOOKUP(G43,'Industry Averages(US)'!$A$2:$S$95,7))</f>
        <v/>
      </c>
      <c r="L43" s="193">
        <f>IF(I43=0,0,VLOOKUP(G43,'Industry Averages(US)'!$A$2:$S$95,13))</f>
        <v/>
      </c>
    </row>
    <row r="44" ht="14" customHeight="1">
      <c r="A44" s="6" t="n"/>
      <c r="B44" s="6" t="n"/>
      <c r="C44" s="6" t="n"/>
      <c r="D44" s="6" t="n"/>
      <c r="E44" s="6" t="n"/>
      <c r="F44" s="6" t="n"/>
      <c r="G44" s="81" t="n"/>
      <c r="H44" s="748" t="n"/>
      <c r="I44" s="749">
        <f>IF(G44=0,,VLOOKUP(G44,'Industry Averages(US)'!$A$2:$S$95,15))</f>
        <v/>
      </c>
      <c r="J44" s="750">
        <f>H44*I44</f>
        <v/>
      </c>
      <c r="K44" s="751">
        <f>IF(I44=0,0,VLOOKUP(G44,'Industry Averages(US)'!$A$2:$S$95,7))</f>
        <v/>
      </c>
      <c r="L44" s="193">
        <f>IF(I44=0,0,VLOOKUP(G44,'Industry Averages(US)'!$A$2:$S$95,13))</f>
        <v/>
      </c>
      <c r="M44" s="587" t="inlineStr">
        <is>
          <t>The costt of capital  is in US dollars, using the riskfree rate at the start of the year. It will be adjusted for the difference in riskfree rates to make it more current and to change currencies.</t>
        </is>
      </c>
      <c r="N44" s="656" t="n"/>
      <c r="O44" s="657" t="n"/>
    </row>
    <row r="45" ht="14" customHeight="1">
      <c r="A45" s="6" t="inlineStr">
        <is>
          <t>Debt value of operating leases =</t>
        </is>
      </c>
      <c r="B45" s="744">
        <f>IF('Input sheet'!B17="Yes",'Operating lease converter'!F33,0)</f>
        <v/>
      </c>
      <c r="C45" s="6" t="n"/>
      <c r="D45" s="6" t="n"/>
      <c r="E45" s="6" t="n"/>
      <c r="F45" s="6" t="n"/>
      <c r="G45" s="81" t="n"/>
      <c r="H45" s="748" t="n"/>
      <c r="I45" s="749">
        <f>IF(G45=0,,VLOOKUP(G45,'Industry Averages(US)'!$A$2:$S$95,15))</f>
        <v/>
      </c>
      <c r="J45" s="750">
        <f>H45*I45</f>
        <v/>
      </c>
      <c r="K45" s="751">
        <f>IF(I45=0,0,VLOOKUP(G45,'Industry Averages(US)'!$A$2:$S$95,7))</f>
        <v/>
      </c>
      <c r="L45" s="193">
        <f>IF(I45=0,0,VLOOKUP(G45,'Industry Averages(US)'!$A$2:$S$95,13))</f>
        <v/>
      </c>
      <c r="M45" s="659" t="n"/>
      <c r="O45" s="660" t="n"/>
    </row>
    <row r="46" ht="14" customHeight="1">
      <c r="A46" s="6" t="n"/>
      <c r="B46" s="6" t="n"/>
      <c r="C46" s="6" t="n"/>
      <c r="D46" s="6" t="n"/>
      <c r="E46" s="6" t="n"/>
      <c r="F46" s="6" t="n"/>
      <c r="G46" s="81" t="n"/>
      <c r="H46" s="748" t="n"/>
      <c r="I46" s="749">
        <f>IF(G46=0,,VLOOKUP(G46,'Industry Averages(US)'!$A$2:$S$95,15))</f>
        <v/>
      </c>
      <c r="J46" s="750">
        <f>H46*I46</f>
        <v/>
      </c>
      <c r="K46" s="751">
        <f>IF(I46=0,0,VLOOKUP(G46,'Industry Averages(US)'!$A$2:$S$95,7))</f>
        <v/>
      </c>
      <c r="L46" s="193">
        <f>IF(I46=0,0,VLOOKUP(G46,'Industry Averages(US)'!$A$2:$S$95,13))</f>
        <v/>
      </c>
      <c r="M46" s="659" t="n"/>
      <c r="O46" s="660" t="n"/>
    </row>
    <row r="47" ht="14" customHeight="1">
      <c r="A47" s="11" t="inlineStr">
        <is>
          <t>Preferred Stock</t>
        </is>
      </c>
      <c r="B47" s="6" t="n"/>
      <c r="C47" s="6" t="n"/>
      <c r="D47" s="6" t="n"/>
      <c r="E47" s="6" t="n"/>
      <c r="F47" s="6" t="n"/>
      <c r="G47" s="81" t="n"/>
      <c r="H47" s="748" t="n"/>
      <c r="I47" s="749">
        <f>IF(G47=0,,VLOOKUP(G47,'Industry Averages(US)'!$A$2:$S$95,15))</f>
        <v/>
      </c>
      <c r="J47" s="750">
        <f>H47*I47</f>
        <v/>
      </c>
      <c r="K47" s="751">
        <f>IF(I47=0,0,VLOOKUP(G47,'Industry Averages(US)'!$A$2:$S$95,7))</f>
        <v/>
      </c>
      <c r="L47" s="193">
        <f>IF(I47=0,0,VLOOKUP(G47,'Industry Averages(US)'!$A$2:$S$95,13))</f>
        <v/>
      </c>
      <c r="M47" s="659" t="n"/>
      <c r="O47" s="660" t="n"/>
    </row>
    <row r="48" ht="14" customHeight="1">
      <c r="A48" s="6" t="inlineStr">
        <is>
          <t>Number of Preferred Shares =</t>
        </is>
      </c>
      <c r="B48" s="60" t="n">
        <v>0</v>
      </c>
      <c r="C48" s="6" t="n"/>
      <c r="D48" s="6" t="n"/>
      <c r="E48" s="6" t="n"/>
      <c r="F48" s="6" t="n"/>
      <c r="G48" s="90" t="inlineStr">
        <is>
          <t>Company</t>
        </is>
      </c>
      <c r="H48" s="752">
        <f>SUM(H36:H47)</f>
        <v/>
      </c>
      <c r="I48" s="753" t="n"/>
      <c r="J48" s="750">
        <f>SUM(J36:J47)</f>
        <v/>
      </c>
      <c r="K48" s="754">
        <f>K36*(J36/J48)+K37*J37/J48+K38*J38/J48+K39*J39/J48+K40*J40/J48+K41*J41/J48+K42*J42/J48+K43*J43/J48+K44*J44/J48+K45*J45/J48+K46*J46/J48+K47*J47/J48</f>
        <v/>
      </c>
      <c r="L48" s="194">
        <f>L36*(J36/J48)+L37*J37/J48+L38*J38/J48+L39*J39/J48+L40*J40/J48+L41*J41/J48+L42*J42/J48+L43*J43/J48+L44*J44/J48+L45*J45/J48+L46*J46/J48+L47*J47/J48</f>
        <v/>
      </c>
      <c r="M48" s="661" t="n"/>
      <c r="N48" s="662" t="n"/>
      <c r="O48" s="663" t="n"/>
    </row>
    <row r="49" ht="14" customHeight="1">
      <c r="A49" s="6" t="inlineStr">
        <is>
          <t>Current Market Price per Share=</t>
        </is>
      </c>
      <c r="B49" s="60" t="n">
        <v>70</v>
      </c>
      <c r="C49" s="6" t="n"/>
      <c r="D49" s="6" t="n"/>
      <c r="E49" s="6" t="n"/>
      <c r="F49" s="6" t="n"/>
    </row>
    <row r="50" ht="18" customHeight="1">
      <c r="A50" s="6" t="inlineStr">
        <is>
          <t>Annual Dividend per Share =</t>
        </is>
      </c>
      <c r="B50" s="60" t="n">
        <v>5</v>
      </c>
      <c r="C50" s="6" t="n"/>
      <c r="D50" s="6" t="n"/>
      <c r="E50" s="6" t="n"/>
      <c r="F50" s="6" t="n"/>
      <c r="G50" s="110" t="inlineStr">
        <is>
          <t>Multi Business (Global Industry Averages)</t>
        </is>
      </c>
    </row>
    <row r="51" ht="14" customHeight="1">
      <c r="A51" s="6" t="n"/>
      <c r="B51" s="6" t="n"/>
      <c r="C51" s="6" t="n"/>
      <c r="D51" s="6" t="n"/>
      <c r="E51" s="6" t="n"/>
      <c r="F51" s="6" t="n"/>
      <c r="G51" s="12" t="inlineStr">
        <is>
          <t>Business</t>
        </is>
      </c>
      <c r="H51" s="12" t="inlineStr">
        <is>
          <t>Revenues</t>
        </is>
      </c>
      <c r="I51" s="12" t="inlineStr">
        <is>
          <t>EV/Sales</t>
        </is>
      </c>
      <c r="J51" s="12" t="inlineStr">
        <is>
          <t>Estimated Value</t>
        </is>
      </c>
      <c r="K51" s="12" t="inlineStr">
        <is>
          <t>Unlevered Beta</t>
        </is>
      </c>
      <c r="L51" s="12" t="inlineStr">
        <is>
          <t>Cost of capital</t>
        </is>
      </c>
    </row>
    <row r="52" ht="14" customHeight="1">
      <c r="A52" s="8" t="inlineStr">
        <is>
          <t>Output</t>
        </is>
      </c>
      <c r="B52" s="6" t="n"/>
      <c r="C52" s="6" t="n"/>
      <c r="D52" s="6" t="n"/>
      <c r="E52" s="6" t="n"/>
      <c r="F52" s="6" t="n"/>
      <c r="G52" s="81" t="inlineStr">
        <is>
          <t>Oil/Gas (Production and Exploration)</t>
        </is>
      </c>
      <c r="H52" s="748" t="n">
        <v>81363</v>
      </c>
      <c r="I52" s="749">
        <f>IF(G52=0,,VLOOKUP(G52,'Industry Average Beta (Global)'!$A$2:$O$95,15))</f>
        <v/>
      </c>
      <c r="J52" s="750">
        <f>H52*I52</f>
        <v/>
      </c>
      <c r="K52" s="749">
        <f>IF(G52=0,,VLOOKUP(G52,'Industry Average Beta (Global)'!$A$2:$O$95,7))</f>
        <v/>
      </c>
      <c r="L52" s="193">
        <f>IF(I52=0,0,VLOOKUP(G52,'Industry Average Beta (Global)'!$A$2:$M$95,13))</f>
        <v/>
      </c>
    </row>
    <row r="53" ht="14" customHeight="1">
      <c r="A53" s="12" t="inlineStr">
        <is>
          <t>Estimating Market Value of Straight Debt =</t>
        </is>
      </c>
      <c r="B53" s="12" t="n"/>
      <c r="C53" s="755">
        <f>B31*(1-(1+B37)^(-B32))/B37+B30/(1+B37)^B32</f>
        <v/>
      </c>
      <c r="D53" s="6" t="n"/>
      <c r="E53" s="6" t="n"/>
      <c r="F53" s="6" t="n"/>
      <c r="G53" s="81" t="inlineStr">
        <is>
          <t>Chemical (Basic)</t>
        </is>
      </c>
      <c r="H53" s="748" t="n">
        <v>14862</v>
      </c>
      <c r="I53" s="749">
        <f>IF(G53=0,,VLOOKUP(G53,'Industry Average Beta (Global)'!$A$2:$O$95,15))</f>
        <v/>
      </c>
      <c r="J53" s="750">
        <f>H53*I53</f>
        <v/>
      </c>
      <c r="K53" s="749">
        <f>IF(G53=0,,VLOOKUP(G53,'Industry Average Beta (Global)'!$A$2:$O$95,7))</f>
        <v/>
      </c>
      <c r="L53" s="193">
        <f>IF(I53=0,0,VLOOKUP(G53,'Industry Average Beta (Global)'!$A$2:$M$95,13))</f>
        <v/>
      </c>
    </row>
    <row r="54" ht="14" customHeight="1">
      <c r="A54" s="12" t="inlineStr">
        <is>
          <t>Estimated Value of Straight Debt in Convertible =</t>
        </is>
      </c>
      <c r="B54" s="12" t="n"/>
      <c r="C54" s="755">
        <f>B41*(1-(1+B37)^(-B42))/B37+B40/(1+B37)^B42</f>
        <v/>
      </c>
      <c r="D54" s="6" t="n"/>
      <c r="E54" s="6" t="n"/>
      <c r="F54" s="6" t="n"/>
      <c r="G54" s="81" t="inlineStr">
        <is>
          <t>Chemical (Specialty)</t>
        </is>
      </c>
      <c r="H54" s="748" t="n">
        <v>4608</v>
      </c>
      <c r="I54" s="749">
        <f>IF(G54=0,,VLOOKUP(G54,'Industry Average Beta (Global)'!$A$2:$O$95,15))</f>
        <v/>
      </c>
      <c r="J54" s="750">
        <f>H54*I54</f>
        <v/>
      </c>
      <c r="K54" s="749">
        <f>IF(G54=0,,VLOOKUP(G54,'Industry Average Beta (Global)'!$A$2:$O$95,7))</f>
        <v/>
      </c>
      <c r="L54" s="193">
        <f>IF(I54=0,0,VLOOKUP(G54,'Industry Average Beta (Global)'!$A$2:$M$95,13))</f>
        <v/>
      </c>
    </row>
    <row r="55" ht="14" customHeight="1">
      <c r="A55" s="12" t="inlineStr">
        <is>
          <t>Value of Debt in Operating leases =</t>
        </is>
      </c>
      <c r="B55" s="12" t="n"/>
      <c r="C55" s="755">
        <f>B45</f>
        <v/>
      </c>
      <c r="D55" s="6" t="n"/>
      <c r="E55" s="6" t="n"/>
      <c r="F55" s="6" t="n"/>
      <c r="G55" s="81" t="inlineStr">
        <is>
          <t>Electronics (General)</t>
        </is>
      </c>
      <c r="H55" s="748" t="n">
        <v>2010</v>
      </c>
      <c r="I55" s="749">
        <f>IF(G55=0,,VLOOKUP(G55,'Industry Average Beta (Global)'!$A$2:$O$95,15))</f>
        <v/>
      </c>
      <c r="J55" s="750">
        <f>H55*I55</f>
        <v/>
      </c>
      <c r="K55" s="749">
        <f>IF(G55=0,,VLOOKUP(G55,'Industry Average Beta (Global)'!$A$2:$O$95,7))</f>
        <v/>
      </c>
      <c r="L55" s="193">
        <f>IF(I55=0,0,VLOOKUP(G55,'Industry Average Beta (Global)'!$A$2:$M$95,13))</f>
        <v/>
      </c>
    </row>
    <row r="56" ht="14" customHeight="1">
      <c r="A56" s="12" t="inlineStr">
        <is>
          <t>Estimated Value of Equity in Convertible =</t>
        </is>
      </c>
      <c r="B56" s="12" t="n"/>
      <c r="C56" s="755">
        <f>B43-C54</f>
        <v/>
      </c>
      <c r="D56" s="6" t="n"/>
      <c r="E56" s="6" t="n"/>
      <c r="F56" s="6" t="n"/>
      <c r="G56" s="81" t="inlineStr">
        <is>
          <t>Metals &amp; Mining</t>
        </is>
      </c>
      <c r="H56" s="748" t="n">
        <v>59269</v>
      </c>
      <c r="I56" s="749">
        <f>IF(G56=0,,VLOOKUP(G56,'Industry Average Beta (Global)'!$A$2:$O$95,15))</f>
        <v/>
      </c>
      <c r="J56" s="750">
        <f>H56*I56</f>
        <v/>
      </c>
      <c r="K56" s="749">
        <f>IF(G56=0,,VLOOKUP(G56,'Industry Average Beta (Global)'!$A$2:$O$95,7))</f>
        <v/>
      </c>
      <c r="L56" s="193">
        <f>IF(I56=0,0,VLOOKUP(G56,'Industry Average Beta (Global)'!$A$2:$M$95,13))</f>
        <v/>
      </c>
    </row>
    <row r="57" ht="14" customHeight="1">
      <c r="A57" s="12" t="inlineStr">
        <is>
          <t>Levered Beta for equity =</t>
        </is>
      </c>
      <c r="B57" s="12" t="n"/>
      <c r="C57" s="71">
        <f>IF(B21="Direct Input",B22,B23*(1+(1-B38)*(C60/B60)))</f>
        <v/>
      </c>
      <c r="D57" s="6" t="n"/>
      <c r="E57" s="6" t="n"/>
      <c r="F57" s="6" t="n"/>
      <c r="G57" s="81" t="n"/>
      <c r="H57" s="748" t="n"/>
      <c r="I57" s="749">
        <f>IF(G57=0,,VLOOKUP(G57,'Industry Average Beta (Global)'!$A$2:$O$95,15))</f>
        <v/>
      </c>
      <c r="J57" s="750">
        <f>H57*I57</f>
        <v/>
      </c>
      <c r="K57" s="749">
        <f>IF(G57=0,,VLOOKUP(G57,'Industry Average Beta (Global)'!$A$2:$O$95,7))</f>
        <v/>
      </c>
      <c r="L57" s="193">
        <f>IF(I57=0,0,VLOOKUP(G57,'Industry Average Beta (Global)'!$A$2:$M$95,13))</f>
        <v/>
      </c>
    </row>
    <row r="58" ht="14" customHeight="1">
      <c r="A58" s="6" t="n"/>
      <c r="B58" s="6" t="n"/>
      <c r="C58" s="71" t="n"/>
      <c r="D58" s="6" t="n"/>
      <c r="E58" s="6" t="n"/>
      <c r="F58" s="6" t="n"/>
      <c r="G58" s="81" t="n"/>
      <c r="H58" s="748" t="n"/>
      <c r="I58" s="749">
        <f>IF(G58=0,,VLOOKUP(G58,'Industry Average Beta (Global)'!$A$2:$O$95,15))</f>
        <v/>
      </c>
      <c r="J58" s="750">
        <f>H58*I58</f>
        <v/>
      </c>
      <c r="K58" s="749">
        <f>IF(G58=0,,VLOOKUP(G58,'Industry Average Beta (Global)'!$A$2:$O$95,7))</f>
        <v/>
      </c>
      <c r="L58" s="193">
        <f>IF(I58=0,0,VLOOKUP(G58,'Industry Average Beta (Global)'!$A$2:$M$95,13))</f>
        <v/>
      </c>
    </row>
    <row r="59" ht="14" customHeight="1">
      <c r="A59" s="61" t="n"/>
      <c r="B59" s="62" t="inlineStr">
        <is>
          <t>Equity</t>
        </is>
      </c>
      <c r="C59" s="62" t="inlineStr">
        <is>
          <t xml:space="preserve">Debt </t>
        </is>
      </c>
      <c r="D59" s="62" t="inlineStr">
        <is>
          <t>Preferred Stock</t>
        </is>
      </c>
      <c r="E59" s="62" t="inlineStr">
        <is>
          <t>Capital</t>
        </is>
      </c>
      <c r="F59" s="61" t="n"/>
      <c r="G59" s="190" t="n"/>
      <c r="H59" s="748" t="n"/>
      <c r="I59" s="749">
        <f>IF(G59=0,,VLOOKUP(G59,'Industry Average Beta (Global)'!$A$2:$O$95,15))</f>
        <v/>
      </c>
      <c r="J59" s="750">
        <f>H59*I59</f>
        <v/>
      </c>
      <c r="K59" s="749">
        <f>IF(G59=0,,VLOOKUP(G59,'Industry Average Beta (Global)'!$A$2:$O$95,7))</f>
        <v/>
      </c>
      <c r="L59" s="193">
        <f>IF(I59=0,0,VLOOKUP(G59,'Industry Average Beta (Global)'!$A$2:$M$95,13))</f>
        <v/>
      </c>
    </row>
    <row r="60" ht="14" customHeight="1">
      <c r="A60" s="12" t="inlineStr">
        <is>
          <t>Market Value</t>
        </is>
      </c>
      <c r="B60" s="755">
        <f>B18*B19</f>
        <v/>
      </c>
      <c r="C60" s="756">
        <f>C53+C54+C55</f>
        <v/>
      </c>
      <c r="D60" s="755">
        <f>B48*B49</f>
        <v/>
      </c>
      <c r="E60" s="756">
        <f>SUM(B60:D60)</f>
        <v/>
      </c>
      <c r="F60" s="6" t="n"/>
      <c r="G60" s="81" t="n"/>
      <c r="H60" s="748" t="n"/>
      <c r="I60" s="749">
        <f>IF(G60=0,,VLOOKUP(G60,'Industry Average Beta (Global)'!$A$2:$O$95,15))</f>
        <v/>
      </c>
      <c r="J60" s="750">
        <f>H60*I60</f>
        <v/>
      </c>
      <c r="K60" s="749">
        <f>IF(G60=0,,VLOOKUP(G60,'Industry Average Beta (Global)'!$A$2:$O$95,7))</f>
        <v/>
      </c>
      <c r="L60" s="193">
        <f>IF(I60=0,0,VLOOKUP(G60,'Industry Average Beta (Global)'!$A$2:$M$95,13))</f>
        <v/>
      </c>
      <c r="M60" s="587" t="inlineStr">
        <is>
          <t>The cost of capital  is in US dollars, using the riskfree rate at the start of the year. It will be adjusted for the difference in riskfree rates to make it more current and to change currencies.</t>
        </is>
      </c>
      <c r="N60" s="656" t="n"/>
      <c r="O60" s="657" t="n"/>
    </row>
    <row r="61" ht="15" customHeight="1" thickBot="1">
      <c r="A61" s="12" t="inlineStr">
        <is>
          <t>Weight in Cost of Capital</t>
        </is>
      </c>
      <c r="B61" s="66">
        <f>B60/$E$60</f>
        <v/>
      </c>
      <c r="C61" s="66">
        <f>C60/$E$60</f>
        <v/>
      </c>
      <c r="D61" s="66">
        <f>D60/$E$60</f>
        <v/>
      </c>
      <c r="E61" s="67">
        <f>SUM(B61:D61)</f>
        <v/>
      </c>
      <c r="F61" s="6" t="n"/>
      <c r="G61" s="81" t="n"/>
      <c r="H61" s="748" t="n"/>
      <c r="I61" s="749">
        <f>IF(G61=0,,VLOOKUP(G61,'Industry Average Beta (Global)'!$A$2:$O$95,15))</f>
        <v/>
      </c>
      <c r="J61" s="750">
        <f>H61*I61</f>
        <v/>
      </c>
      <c r="K61" s="749">
        <f>IF(G61=0,,VLOOKUP(G61,'Industry Average Beta (Global)'!$A$2:$O$95,7))</f>
        <v/>
      </c>
      <c r="L61" s="193">
        <f>IF(I61=0,0,VLOOKUP(G61,'Industry Average Beta (Global)'!$A$2:$M$95,13))</f>
        <v/>
      </c>
      <c r="M61" s="659" t="n"/>
      <c r="O61" s="660" t="n"/>
    </row>
    <row r="62" ht="15" customHeight="1" thickBot="1">
      <c r="A62" s="12" t="inlineStr">
        <is>
          <t>Cost of Component</t>
        </is>
      </c>
      <c r="B62" s="68">
        <f>B24+C57*B27</f>
        <v/>
      </c>
      <c r="C62" s="66">
        <f>B37*(1-B38)</f>
        <v/>
      </c>
      <c r="D62" s="69">
        <f>B50/B49</f>
        <v/>
      </c>
      <c r="E62" s="70">
        <f>B61*B62+C61*C62+D61*D62</f>
        <v/>
      </c>
      <c r="F62" s="6" t="n"/>
      <c r="G62" s="81" t="n"/>
      <c r="H62" s="748" t="n"/>
      <c r="I62" s="749">
        <f>IF(G62=0,,VLOOKUP(G62,'Industry Average Beta (Global)'!$A$2:$O$95,15))</f>
        <v/>
      </c>
      <c r="J62" s="750">
        <f>H62*I62</f>
        <v/>
      </c>
      <c r="K62" s="749">
        <f>IF(G62=0,,VLOOKUP(G62,'Industry Average Beta (Global)'!$A$2:$O$95,7))</f>
        <v/>
      </c>
      <c r="L62" s="193">
        <f>IF(I62=0,0,VLOOKUP(G62,'Industry Average Beta (Global)'!$A$2:$M$95,13))</f>
        <v/>
      </c>
      <c r="M62" s="659" t="n"/>
      <c r="O62" s="660" t="n"/>
    </row>
    <row r="63" ht="14" customHeight="1">
      <c r="G63" s="81" t="n"/>
      <c r="H63" s="748" t="n"/>
      <c r="I63" s="749">
        <f>IF(G63=0,,VLOOKUP(G63,'Industry Average Beta (Global)'!$A$2:$O$95,15))</f>
        <v/>
      </c>
      <c r="J63" s="750">
        <f>H63*I63</f>
        <v/>
      </c>
      <c r="K63" s="749">
        <f>IF(G63=0,,VLOOKUP(G63,'Industry Average Beta (Global)'!$A$2:$O$95,7))</f>
        <v/>
      </c>
      <c r="L63" s="193">
        <f>IF(I63=0,0,VLOOKUP(G63,'Industry Average Beta (Global)'!$A$2:$M$95,13))</f>
        <v/>
      </c>
      <c r="M63" s="659" t="n"/>
      <c r="O63" s="660" t="n"/>
    </row>
    <row r="64" ht="15" customHeight="1" thickBot="1">
      <c r="G64" s="90" t="inlineStr">
        <is>
          <t>Company</t>
        </is>
      </c>
      <c r="H64" s="752">
        <f>SUM(H52:H63)</f>
        <v/>
      </c>
      <c r="I64" s="753" t="n"/>
      <c r="J64" s="750">
        <f>SUM(J52:J63)</f>
        <v/>
      </c>
      <c r="K64" s="753">
        <f>K52*(J52/J64)+K53*J53/J64+K54*J54/J64+K55*J55/J64+K56*J56/J64+K57*J57/J64+K58*J58/J64+K59*J59/J64+K60*J60/J64+K61*J61/J64+K62*J62/J64+K63*J63/J64</f>
        <v/>
      </c>
      <c r="L64" s="194">
        <f>L52*(J52/J64)+L53*J53/J64+L54*J54/J64+L55*J55/J64+L56*J56/J64+L57*J57/J64+L58*J58/J64+L59*J59/J64+L60*J60/J64+L61*J61/J64+L62*J62/J64+L63*J63/J64</f>
        <v/>
      </c>
      <c r="M64" s="661" t="n"/>
      <c r="N64" s="662" t="n"/>
      <c r="O64" s="663" t="n"/>
    </row>
    <row r="65" ht="17" customHeight="1" thickBot="1">
      <c r="A65" s="757" t="inlineStr">
        <is>
          <t>Approach 2: industry average cost of capital, adjusted for riskfre rate differences</t>
        </is>
      </c>
      <c r="B65" s="620" t="n"/>
      <c r="C65" s="620" t="n"/>
      <c r="D65" s="620" t="n"/>
      <c r="E65" s="620" t="n"/>
      <c r="F65" s="621" t="n"/>
    </row>
    <row r="66" ht="15" customHeight="1" thickBot="1">
      <c r="A66" s="6" t="inlineStr">
        <is>
          <t xml:space="preserve">Industry </t>
        </is>
      </c>
      <c r="B66" s="195" t="inlineStr">
        <is>
          <t>Multibusiness(US)</t>
        </is>
      </c>
    </row>
    <row r="67" ht="14" customHeight="1" thickBot="1">
      <c r="A67" t="inlineStr">
        <is>
          <t>Cost of capital, adjusted for riskfree rate difference</t>
        </is>
      </c>
      <c r="B67" s="196">
        <f>IF(B66="Single Business(US)",(VLOOKUP('Input sheet'!B8,'Industry Averages(US)'!A2:M95,13)+('Input sheet'!B34-3.88%)),IF(B66="Multibusiness(US)",L48+('Input sheet'!B34-3.88%),IF(B66="Single Business(Global)",(VLOOKUP('Input sheet'!B8,'Industry Average Beta (Global)'!A2:M95,13)+('Input sheet'!B34-3.88%)),L64+('Input sheet'!B34-3.88%))))</f>
        <v/>
      </c>
    </row>
    <row r="68" ht="14" customHeight="1" thickBot="1"/>
    <row r="69" ht="17" customHeight="1" thickBot="1">
      <c r="A69" s="757" t="inlineStr">
        <is>
          <t>Approach 3: Uae histogram of costs of capital of all publicly traded firms</t>
        </is>
      </c>
      <c r="B69" s="620" t="n"/>
      <c r="C69" s="620" t="n"/>
      <c r="D69" s="620" t="n"/>
      <c r="E69" s="620" t="n"/>
      <c r="F69" s="621" t="n"/>
    </row>
    <row r="70">
      <c r="A70" t="inlineStr">
        <is>
          <t>Which grouping (US, Emerging Markets, Global)</t>
        </is>
      </c>
      <c r="B70" s="201" t="inlineStr">
        <is>
          <t>Europe</t>
        </is>
      </c>
    </row>
    <row r="71">
      <c r="A71" t="inlineStr">
        <is>
          <t>Which risk grouping does your company fall in?</t>
        </is>
      </c>
      <c r="B71" s="201" t="inlineStr">
        <is>
          <t>Median</t>
        </is>
      </c>
    </row>
    <row r="72">
      <c r="A72" t="inlineStr">
        <is>
          <t>Cost of capital based upon decile/group chosen</t>
        </is>
      </c>
      <c r="B72" s="194">
        <f>VLOOKUP(B70,A75:F79,IF(B71="First Decile",2,IF(B71="First Quartile",3,IF(B71="Median",4,IF(B71="Third Quartile",5,6)))))</f>
        <v/>
      </c>
    </row>
    <row r="74" ht="14" customHeight="1">
      <c r="A74" s="447" t="inlineStr">
        <is>
          <t>Region</t>
        </is>
      </c>
      <c r="B74" s="449" t="inlineStr">
        <is>
          <t>First Decile</t>
        </is>
      </c>
      <c r="C74" s="450" t="inlineStr">
        <is>
          <t>First Quartile</t>
        </is>
      </c>
      <c r="D74" s="450" t="inlineStr">
        <is>
          <t>Median</t>
        </is>
      </c>
      <c r="E74" s="450" t="inlineStr">
        <is>
          <t>Third Quartile</t>
        </is>
      </c>
      <c r="F74" s="450" t="inlineStr">
        <is>
          <t>Ninth Decile</t>
        </is>
      </c>
    </row>
    <row r="75">
      <c r="A75" s="447" t="inlineStr">
        <is>
          <t>Emerging</t>
        </is>
      </c>
      <c r="B75" s="758">
        <f>'Input sheet'!B34+2.37%</f>
        <v/>
      </c>
      <c r="C75" s="758">
        <f>'Input sheet'!B34+3.43%</f>
        <v/>
      </c>
      <c r="D75" s="758">
        <f>'Input sheet'!B34+4.74%</f>
        <v/>
      </c>
      <c r="E75" s="758">
        <f>'Input sheet'!B34+5.94%</f>
        <v/>
      </c>
      <c r="F75" s="758">
        <f>'Input sheet'!B34+7.77%</f>
        <v/>
      </c>
    </row>
    <row r="76">
      <c r="A76" s="447" t="inlineStr">
        <is>
          <t>Europe</t>
        </is>
      </c>
      <c r="B76" s="758">
        <f>'Input sheet'!B34+3.04%</f>
        <v/>
      </c>
      <c r="C76" s="758">
        <f>'Input sheet'!B34+4.18%</f>
        <v/>
      </c>
      <c r="D76" s="758">
        <f>'Input sheet'!B34+5.4%</f>
        <v/>
      </c>
      <c r="E76" s="758">
        <f>'Input sheet'!B34+6.87%</f>
        <v/>
      </c>
      <c r="F76" s="758">
        <f>'Input sheet'!B34+8.77%</f>
        <v/>
      </c>
    </row>
    <row r="77">
      <c r="A77" s="447" t="inlineStr">
        <is>
          <t>Global</t>
        </is>
      </c>
      <c r="B77" s="758">
        <f>'Input sheet'!B34+1.32%</f>
        <v/>
      </c>
      <c r="C77" s="758">
        <f>'Input sheet'!B34+2.45%</f>
        <v/>
      </c>
      <c r="D77" s="758">
        <f>'Input sheet'!B34+4.03%</f>
        <v/>
      </c>
      <c r="E77" s="758">
        <f>'Input sheet'!B34+4.99%</f>
        <v/>
      </c>
      <c r="F77" s="758">
        <f>'Input sheet'!B34+5.74%</f>
        <v/>
      </c>
    </row>
    <row r="78">
      <c r="A78" s="447" t="inlineStr">
        <is>
          <t>Japan</t>
        </is>
      </c>
      <c r="B78" s="758">
        <f>'Input sheet'!B34+2.6%</f>
        <v/>
      </c>
      <c r="C78" s="758">
        <f>'Input sheet'!B34+3.58%</f>
        <v/>
      </c>
      <c r="D78" s="758">
        <f>'Input sheet'!B34+4.74%</f>
        <v/>
      </c>
      <c r="E78" s="758">
        <f>'Input sheet'!B34+5.59%</f>
        <v/>
      </c>
      <c r="F78" s="758">
        <f>'Input sheet'!B34+6.83%</f>
        <v/>
      </c>
    </row>
    <row r="79">
      <c r="A79" s="447" t="inlineStr">
        <is>
          <t>US</t>
        </is>
      </c>
      <c r="B79" s="758">
        <f>'Input sheet'!B34+2.35%</f>
        <v/>
      </c>
      <c r="C79" s="758">
        <f>'Input sheet'!B34+3.67%</f>
        <v/>
      </c>
      <c r="D79" s="758">
        <f>'Input sheet'!B34+4.52%</f>
        <v/>
      </c>
      <c r="E79" s="758">
        <f>'Input sheet'!B34+4.76%</f>
        <v/>
      </c>
      <c r="F79" s="758">
        <f>'Input sheet'!B34+5.29%</f>
        <v/>
      </c>
    </row>
    <row r="80">
      <c r="A80" s="576"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656" t="n"/>
      <c r="C80" s="656" t="n"/>
      <c r="D80" s="656" t="n"/>
      <c r="E80" s="656" t="n"/>
      <c r="F80" s="656" t="n"/>
    </row>
    <row r="81"/>
  </sheetData>
  <mergeCells count="10">
    <mergeCell ref="A80:F81"/>
    <mergeCell ref="A4:E9"/>
    <mergeCell ref="M44:O48"/>
    <mergeCell ref="M5:Q19"/>
    <mergeCell ref="A1:K2"/>
    <mergeCell ref="A3:E3"/>
    <mergeCell ref="A15:F15"/>
    <mergeCell ref="A65:F65"/>
    <mergeCell ref="A69:F69"/>
    <mergeCell ref="M60:O64"/>
  </mergeCells>
  <dataValidations count="1">
    <dataValidation sqref="B70" showErrorMessage="1" showInput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G39" sqref="G39"/>
    </sheetView>
  </sheetViews>
  <sheetFormatPr baseColWidth="10" defaultRowHeight="13"/>
  <sheetData>
    <row r="1" ht="23" customFormat="1" customHeight="1" s="253">
      <c r="A1" s="253" t="inlineStr">
        <is>
          <t>Estimating the likelihood of failure</t>
        </is>
      </c>
    </row>
    <row r="2" ht="18" customFormat="1" customHeight="1" s="251">
      <c r="A2" s="251" t="inlineStr">
        <is>
          <t>Approach 1: Using a corporate bond rating</t>
        </is>
      </c>
    </row>
    <row r="3" ht="14" customHeight="1" thickBot="1"/>
    <row r="4" ht="15" customHeight="1" thickBot="1">
      <c r="A4" s="759" t="inlineStr">
        <is>
          <t>Default Probabilities over time (1 - 10 year time horizons)</t>
        </is>
      </c>
      <c r="B4" s="620" t="n"/>
      <c r="C4" s="620" t="n"/>
      <c r="D4" s="620" t="n"/>
      <c r="E4" s="620" t="n"/>
      <c r="F4" s="620" t="n"/>
      <c r="G4" s="620" t="n"/>
      <c r="H4" s="620" t="n"/>
      <c r="I4" s="620" t="n"/>
      <c r="J4" s="620" t="n"/>
      <c r="K4" s="621" t="n"/>
    </row>
    <row r="5" ht="16" customHeight="1">
      <c r="A5" s="163" t="inlineStr">
        <is>
          <t>Rating</t>
        </is>
      </c>
      <c r="B5" s="164" t="n">
        <v>1</v>
      </c>
      <c r="C5" s="164" t="n">
        <v>2</v>
      </c>
      <c r="D5" s="164" t="n">
        <v>3</v>
      </c>
      <c r="E5" s="164" t="n">
        <v>4</v>
      </c>
      <c r="F5" s="164" t="n">
        <v>5</v>
      </c>
      <c r="G5" s="164" t="n">
        <v>6</v>
      </c>
      <c r="H5" s="164" t="n">
        <v>7</v>
      </c>
      <c r="I5" s="164" t="n">
        <v>8</v>
      </c>
      <c r="J5" s="164" t="n">
        <v>9</v>
      </c>
      <c r="K5" s="164" t="n">
        <v>10</v>
      </c>
    </row>
    <row r="6" ht="16" customHeight="1">
      <c r="A6" s="165" t="inlineStr">
        <is>
          <t>AAA</t>
        </is>
      </c>
      <c r="B6" s="166" t="n">
        <v>0</v>
      </c>
      <c r="C6" s="166" t="n">
        <v>0.0003</v>
      </c>
      <c r="D6" s="166" t="n">
        <v>0.0013</v>
      </c>
      <c r="E6" s="166" t="n">
        <v>0.0024</v>
      </c>
      <c r="F6" s="166" t="n">
        <v>0.0035</v>
      </c>
      <c r="G6" s="166" t="n">
        <v>0.004500000000000001</v>
      </c>
      <c r="H6" s="166" t="n">
        <v>0.0051</v>
      </c>
      <c r="I6" s="166" t="n">
        <v>0.0059</v>
      </c>
      <c r="J6" s="166" t="n">
        <v>0.0064</v>
      </c>
      <c r="K6" s="166" t="n">
        <v>0.006999999999999999</v>
      </c>
    </row>
    <row r="7" ht="16" customHeight="1">
      <c r="A7" s="165" t="inlineStr">
        <is>
          <t>AA</t>
        </is>
      </c>
      <c r="B7" s="166" t="n">
        <v>0.0002</v>
      </c>
      <c r="C7" s="166" t="n">
        <v>0.0005999999999999999</v>
      </c>
      <c r="D7" s="166" t="n">
        <v>0.0012</v>
      </c>
      <c r="E7" s="166" t="n">
        <v>0.0021</v>
      </c>
      <c r="F7" s="166" t="n">
        <v>0.0031</v>
      </c>
      <c r="G7" s="166" t="n">
        <v>0.0042</v>
      </c>
      <c r="H7" s="166" t="n">
        <v>0.005</v>
      </c>
      <c r="I7" s="166" t="n">
        <v>0.0058</v>
      </c>
      <c r="J7" s="166" t="n">
        <v>0.006500000000000001</v>
      </c>
      <c r="K7" s="166" t="n">
        <v>0.0072</v>
      </c>
    </row>
    <row r="8" ht="16" customHeight="1">
      <c r="A8" s="165" t="inlineStr">
        <is>
          <t>A</t>
        </is>
      </c>
      <c r="B8" s="166" t="n">
        <v>0.0005</v>
      </c>
      <c r="C8" s="166" t="n">
        <v>0.0014</v>
      </c>
      <c r="D8" s="166" t="n">
        <v>0.0023</v>
      </c>
      <c r="E8" s="166" t="n">
        <v>0.0035</v>
      </c>
      <c r="F8" s="166" t="n">
        <v>0.004699999999999999</v>
      </c>
      <c r="G8" s="166" t="n">
        <v>0.0062</v>
      </c>
      <c r="H8" s="166" t="n">
        <v>0.007900000000000001</v>
      </c>
      <c r="I8" s="166" t="n">
        <v>0.009300000000000001</v>
      </c>
      <c r="J8" s="166" t="n">
        <v>0.0108</v>
      </c>
      <c r="K8" s="166" t="n">
        <v>0.0124</v>
      </c>
    </row>
    <row r="9" ht="16" customHeight="1">
      <c r="A9" s="165" t="inlineStr">
        <is>
          <t>BBB</t>
        </is>
      </c>
      <c r="B9" s="166" t="n">
        <v>0.0016</v>
      </c>
      <c r="C9" s="166" t="n">
        <v>0.004500000000000001</v>
      </c>
      <c r="D9" s="166" t="n">
        <v>0.007800000000000001</v>
      </c>
      <c r="E9" s="166" t="n">
        <v>0.0117</v>
      </c>
      <c r="F9" s="166" t="n">
        <v>0.0158</v>
      </c>
      <c r="G9" s="166" t="n">
        <v>0.0198</v>
      </c>
      <c r="H9" s="166" t="n">
        <v>0.0233</v>
      </c>
      <c r="I9" s="166" t="n">
        <v>0.0267</v>
      </c>
      <c r="J9" s="166" t="n">
        <v>0.03</v>
      </c>
      <c r="K9" s="166" t="n">
        <v>0.0332</v>
      </c>
    </row>
    <row r="10" ht="16" customHeight="1">
      <c r="A10" s="165" t="inlineStr">
        <is>
          <t>BB</t>
        </is>
      </c>
      <c r="B10" s="166" t="n">
        <v>0.0061</v>
      </c>
      <c r="C10" s="166" t="n">
        <v>0.0192</v>
      </c>
      <c r="D10" s="166" t="n">
        <v>0.0348</v>
      </c>
      <c r="E10" s="166" t="n">
        <v>0.0505</v>
      </c>
      <c r="F10" s="166" t="n">
        <v>0.06519999999999999</v>
      </c>
      <c r="G10" s="166" t="n">
        <v>0.0785</v>
      </c>
      <c r="H10" s="166" t="n">
        <v>0.0901</v>
      </c>
      <c r="I10" s="166" t="n">
        <v>0.1004</v>
      </c>
      <c r="J10" s="166" t="n">
        <v>0.1097</v>
      </c>
      <c r="K10" s="166" t="n">
        <v>0.1178</v>
      </c>
    </row>
    <row r="11" ht="16" customHeight="1">
      <c r="A11" s="165" t="inlineStr">
        <is>
          <t>B</t>
        </is>
      </c>
      <c r="B11" s="166" t="n">
        <v>0.0333</v>
      </c>
      <c r="C11" s="166" t="n">
        <v>0.0771</v>
      </c>
      <c r="D11" s="166" t="n">
        <v>0.1155</v>
      </c>
      <c r="E11" s="166" t="n">
        <v>0.1458</v>
      </c>
      <c r="F11" s="166" t="n">
        <v>0.1693</v>
      </c>
      <c r="G11" s="166" t="n">
        <v>0.1883</v>
      </c>
      <c r="H11" s="166" t="n">
        <v>0.2036</v>
      </c>
      <c r="I11" s="166" t="n">
        <v>0.216</v>
      </c>
      <c r="J11" s="166" t="n">
        <v>0.227</v>
      </c>
      <c r="K11" s="166" t="n">
        <v>0.2374</v>
      </c>
    </row>
    <row r="12" ht="16" customHeight="1">
      <c r="A12" s="165" t="inlineStr">
        <is>
          <t>CCC/C</t>
        </is>
      </c>
      <c r="B12" s="166" t="n">
        <v>0.2708</v>
      </c>
      <c r="C12" s="166" t="n">
        <v>0.3664</v>
      </c>
      <c r="D12" s="166" t="n">
        <v>0.4141</v>
      </c>
      <c r="E12" s="166" t="n">
        <v>0.441</v>
      </c>
      <c r="F12" s="166" t="n">
        <v>0.4619</v>
      </c>
      <c r="G12" s="166" t="n">
        <v>0.4709</v>
      </c>
      <c r="H12" s="166" t="n">
        <v>0.4826</v>
      </c>
      <c r="I12" s="166" t="n">
        <v>0.4905</v>
      </c>
      <c r="J12" s="166" t="n">
        <v>0.4976</v>
      </c>
      <c r="K12" s="166" t="n">
        <v>0.5038</v>
      </c>
    </row>
    <row r="14" ht="16" customHeight="1">
      <c r="A14" s="252" t="inlineStr">
        <is>
          <t>Thus, if you use the 10-year likelihood of failure, the chance of failure for a BB rated firm is 11.78%.</t>
        </is>
      </c>
    </row>
    <row r="16" ht="18" customFormat="1" customHeight="1" s="251">
      <c r="A16" s="251" t="inlineStr">
        <is>
          <t>Approach 2: Using corporate age (for young companies)</t>
        </is>
      </c>
    </row>
    <row r="17">
      <c r="O17" s="604" t="inlineStr">
        <is>
          <t>Survial Rate Data from Bureau of Labor Statistics (2022)</t>
        </is>
      </c>
    </row>
    <row r="18" ht="16" customHeight="1">
      <c r="A18" s="254" t="n"/>
      <c r="B18" s="255" t="n"/>
      <c r="C18" s="256" t="inlineStr">
        <is>
          <t>Agriculture</t>
        </is>
      </c>
      <c r="D18" s="256" t="inlineStr">
        <is>
          <t>Mining</t>
        </is>
      </c>
      <c r="E18" s="256" t="inlineStr">
        <is>
          <t>Utilities</t>
        </is>
      </c>
      <c r="F18" s="256" t="inlineStr">
        <is>
          <t>Construction</t>
        </is>
      </c>
      <c r="G18" s="256" t="inlineStr">
        <is>
          <t>Manufacturing</t>
        </is>
      </c>
      <c r="H18" s="256" t="inlineStr">
        <is>
          <t>Retail</t>
        </is>
      </c>
      <c r="I18" s="256" t="inlineStr">
        <is>
          <t>Transportation</t>
        </is>
      </c>
      <c r="J18" s="256" t="inlineStr">
        <is>
          <t>Information</t>
        </is>
      </c>
      <c r="K18" s="256" t="inlineStr">
        <is>
          <t>Health Care</t>
        </is>
      </c>
      <c r="L18" s="256" t="inlineStr">
        <is>
          <t>All Sectors</t>
        </is>
      </c>
      <c r="O18" s="256" t="inlineStr">
        <is>
          <t>Agriculture</t>
        </is>
      </c>
      <c r="P18" s="256" t="inlineStr">
        <is>
          <t>Mining</t>
        </is>
      </c>
      <c r="Q18" s="256" t="inlineStr">
        <is>
          <t>Utilities</t>
        </is>
      </c>
      <c r="R18" s="256" t="inlineStr">
        <is>
          <t>Construction</t>
        </is>
      </c>
      <c r="S18" s="256" t="inlineStr">
        <is>
          <t>Manufacturing</t>
        </is>
      </c>
      <c r="T18" s="256" t="inlineStr">
        <is>
          <t>Retail</t>
        </is>
      </c>
      <c r="U18" s="256" t="inlineStr">
        <is>
          <t>Transportation</t>
        </is>
      </c>
      <c r="V18" s="256" t="inlineStr">
        <is>
          <t>Information</t>
        </is>
      </c>
      <c r="W18" s="256" t="inlineStr">
        <is>
          <t>Health Care</t>
        </is>
      </c>
      <c r="X18" s="256" t="inlineStr">
        <is>
          <t>All Sectors</t>
        </is>
      </c>
    </row>
    <row r="19" ht="16" customHeight="1">
      <c r="A19" s="760" t="inlineStr">
        <is>
          <t>Failure Rate given age</t>
        </is>
      </c>
      <c r="B19" s="259" t="n">
        <v>0</v>
      </c>
      <c r="C19" s="257">
        <f>1-O28</f>
        <v/>
      </c>
      <c r="D19" s="257">
        <f>1-P28</f>
        <v/>
      </c>
      <c r="E19" s="257">
        <f>1-Q28</f>
        <v/>
      </c>
      <c r="F19" s="257">
        <f>1-R28</f>
        <v/>
      </c>
      <c r="G19" s="257">
        <f>1-S28</f>
        <v/>
      </c>
      <c r="H19" s="257">
        <f>1-T28</f>
        <v/>
      </c>
      <c r="I19" s="257">
        <f>1-U28</f>
        <v/>
      </c>
      <c r="J19" s="257">
        <f>1-V28</f>
        <v/>
      </c>
      <c r="K19" s="257">
        <f>1-W28</f>
        <v/>
      </c>
      <c r="L19" s="257">
        <f>1-X28</f>
        <v/>
      </c>
      <c r="N19" t="n">
        <v>1</v>
      </c>
      <c r="O19" s="258" t="n">
        <v>0.823</v>
      </c>
      <c r="P19" s="258" t="n">
        <v>0.8179999999999999</v>
      </c>
      <c r="Q19" s="258" t="n">
        <v>0.84</v>
      </c>
      <c r="R19" s="258" t="n">
        <v>0.743</v>
      </c>
      <c r="S19" s="258" t="n">
        <v>0.828</v>
      </c>
      <c r="T19" s="258" t="n">
        <v>0.831</v>
      </c>
      <c r="U19" s="258" t="n">
        <v>0.769</v>
      </c>
      <c r="V19" s="258" t="n">
        <v>0.752</v>
      </c>
      <c r="W19" s="258" t="n">
        <v>0.8140000000000001</v>
      </c>
      <c r="X19" s="258" t="n">
        <v>0.7829999999999999</v>
      </c>
    </row>
    <row r="20" ht="16" customHeight="1">
      <c r="A20" s="761" t="n"/>
      <c r="B20" s="259" t="n">
        <v>1</v>
      </c>
      <c r="C20" s="257">
        <f>O19-O$28</f>
        <v/>
      </c>
      <c r="D20" s="257">
        <f>P19-P$28</f>
        <v/>
      </c>
      <c r="E20" s="257">
        <f>Q19-Q$28</f>
        <v/>
      </c>
      <c r="F20" s="257">
        <f>R19-R$28</f>
        <v/>
      </c>
      <c r="G20" s="257">
        <f>S19-S$28</f>
        <v/>
      </c>
      <c r="H20" s="257">
        <f>T19-T$28</f>
        <v/>
      </c>
      <c r="I20" s="257">
        <f>U19-U$28</f>
        <v/>
      </c>
      <c r="J20" s="257">
        <f>V19-V$28</f>
        <v/>
      </c>
      <c r="K20" s="257">
        <f>W19-W$28</f>
        <v/>
      </c>
      <c r="L20" s="257">
        <f>X19-X$28</f>
        <v/>
      </c>
      <c r="N20" t="n">
        <v>2</v>
      </c>
      <c r="O20" s="258" t="n">
        <v>0.748</v>
      </c>
      <c r="P20" s="258" t="n">
        <v>0.7120000000000001</v>
      </c>
      <c r="Q20" s="258" t="n">
        <v>0.735</v>
      </c>
      <c r="R20" s="258" t="n">
        <v>0.598</v>
      </c>
      <c r="S20" s="258" t="n">
        <v>0.7240000000000001</v>
      </c>
      <c r="T20" s="258" t="n">
        <v>0.7240000000000001</v>
      </c>
      <c r="U20" s="258" t="n">
        <v>0.636</v>
      </c>
      <c r="V20" s="258" t="n">
        <v>0.627</v>
      </c>
      <c r="W20" s="258" t="n">
        <v>0.722</v>
      </c>
      <c r="X20" s="258" t="n">
        <v>0.662</v>
      </c>
    </row>
    <row r="21" ht="16" customHeight="1">
      <c r="A21" s="761" t="n"/>
      <c r="B21" s="259" t="n">
        <v>2</v>
      </c>
      <c r="C21" s="257">
        <f>O20-O$28</f>
        <v/>
      </c>
      <c r="D21" s="257">
        <f>P20-P$28</f>
        <v/>
      </c>
      <c r="E21" s="257">
        <f>Q20-Q$28</f>
        <v/>
      </c>
      <c r="F21" s="257">
        <f>R20-R$28</f>
        <v/>
      </c>
      <c r="G21" s="257">
        <f>S20-S$28</f>
        <v/>
      </c>
      <c r="H21" s="257">
        <f>T20-T$28</f>
        <v/>
      </c>
      <c r="I21" s="257">
        <f>U20-U$28</f>
        <v/>
      </c>
      <c r="J21" s="257">
        <f>V20-V$28</f>
        <v/>
      </c>
      <c r="K21" s="257">
        <f>W20-W$28</f>
        <v/>
      </c>
      <c r="L21" s="257">
        <f>X20-X$28</f>
        <v/>
      </c>
      <c r="N21" t="n">
        <v>3</v>
      </c>
      <c r="O21" s="258" t="n">
        <v>0.6609999999999999</v>
      </c>
      <c r="P21" s="258" t="n">
        <v>0.629</v>
      </c>
      <c r="Q21" s="258" t="n">
        <v>0.67</v>
      </c>
      <c r="R21" s="258" t="n">
        <v>0.456</v>
      </c>
      <c r="S21" s="258" t="n">
        <v>0.622</v>
      </c>
      <c r="T21" s="258" t="n">
        <v>0.631</v>
      </c>
      <c r="U21" s="258" t="n">
        <v>0.523</v>
      </c>
      <c r="V21" s="258" t="n">
        <v>0.5329999999999999</v>
      </c>
      <c r="W21" s="258" t="n">
        <v>0.674</v>
      </c>
      <c r="X21" s="258" t="n">
        <v>0.5660000000000001</v>
      </c>
    </row>
    <row r="22" ht="16" customHeight="1">
      <c r="A22" s="761" t="n"/>
      <c r="B22" s="259" t="n">
        <v>3</v>
      </c>
      <c r="C22" s="257">
        <f>O21-O$28</f>
        <v/>
      </c>
      <c r="D22" s="257">
        <f>P21-P$28</f>
        <v/>
      </c>
      <c r="E22" s="257">
        <f>Q21-Q$28</f>
        <v/>
      </c>
      <c r="F22" s="257">
        <f>R21-R$28</f>
        <v/>
      </c>
      <c r="G22" s="257">
        <f>S21-S$28</f>
        <v/>
      </c>
      <c r="H22" s="257">
        <f>T21-T$28</f>
        <v/>
      </c>
      <c r="I22" s="257">
        <f>U21-U$28</f>
        <v/>
      </c>
      <c r="J22" s="257">
        <f>V21-V$28</f>
        <v/>
      </c>
      <c r="K22" s="257">
        <f>W21-W$28</f>
        <v/>
      </c>
      <c r="L22" s="257">
        <f>X21-X$28</f>
        <v/>
      </c>
      <c r="N22" t="n">
        <v>4</v>
      </c>
      <c r="O22" s="258" t="n">
        <v>0.612</v>
      </c>
      <c r="P22" s="258" t="n">
        <v>0.5379999999999999</v>
      </c>
      <c r="Q22" s="258" t="n">
        <v>0.629</v>
      </c>
      <c r="R22" s="258" t="n">
        <v>0.371</v>
      </c>
      <c r="S22" s="258" t="n">
        <v>0.541</v>
      </c>
      <c r="T22" s="258" t="n">
        <v>0.5649999999999999</v>
      </c>
      <c r="U22" s="258" t="n">
        <v>0.45</v>
      </c>
      <c r="V22" s="258" t="n">
        <v>0.464</v>
      </c>
      <c r="W22" s="258" t="n">
        <v>0.613</v>
      </c>
      <c r="X22" s="258" t="n">
        <v>0.498</v>
      </c>
    </row>
    <row r="23" ht="16" customHeight="1">
      <c r="A23" s="761" t="n"/>
      <c r="B23" s="259" t="n">
        <v>4</v>
      </c>
      <c r="C23" s="257">
        <f>O22-O$28</f>
        <v/>
      </c>
      <c r="D23" s="257">
        <f>P22-P$28</f>
        <v/>
      </c>
      <c r="E23" s="257">
        <f>Q22-Q$28</f>
        <v/>
      </c>
      <c r="F23" s="257">
        <f>R22-R$28</f>
        <v/>
      </c>
      <c r="G23" s="257">
        <f>S22-S$28</f>
        <v/>
      </c>
      <c r="H23" s="257">
        <f>T22-T$28</f>
        <v/>
      </c>
      <c r="I23" s="257">
        <f>U22-U$28</f>
        <v/>
      </c>
      <c r="J23" s="257">
        <f>V22-V$28</f>
        <v/>
      </c>
      <c r="K23" s="257">
        <f>W22-W$28</f>
        <v/>
      </c>
      <c r="L23" s="257">
        <f>X22-X$28</f>
        <v/>
      </c>
      <c r="N23" t="n">
        <v>5</v>
      </c>
      <c r="O23" s="258" t="n">
        <v>0.574</v>
      </c>
      <c r="P23" s="258" t="n">
        <v>0.512</v>
      </c>
      <c r="Q23" s="258" t="n">
        <v>0.5649999999999999</v>
      </c>
      <c r="R23" s="258" t="n">
        <v>0.332</v>
      </c>
      <c r="S23" s="258" t="n">
        <v>0.494</v>
      </c>
      <c r="T23" s="258" t="n">
        <v>0.521</v>
      </c>
      <c r="U23" s="258" t="n">
        <v>0.411</v>
      </c>
      <c r="V23" s="258" t="n">
        <v>0.419</v>
      </c>
      <c r="W23" s="258" t="n">
        <v>0.5589999999999999</v>
      </c>
      <c r="X23" s="258" t="n">
        <v>0.454</v>
      </c>
    </row>
    <row r="24" ht="16" customHeight="1">
      <c r="A24" s="761" t="n"/>
      <c r="B24" s="259" t="n">
        <v>5</v>
      </c>
      <c r="C24" s="257">
        <f>O23-O$28</f>
        <v/>
      </c>
      <c r="D24" s="257">
        <f>P23-P$28</f>
        <v/>
      </c>
      <c r="E24" s="257">
        <f>Q23-Q$28</f>
        <v/>
      </c>
      <c r="F24" s="257">
        <f>R23-R$28</f>
        <v/>
      </c>
      <c r="G24" s="257">
        <f>S23-S$28</f>
        <v/>
      </c>
      <c r="H24" s="257">
        <f>T23-T$28</f>
        <v/>
      </c>
      <c r="I24" s="257">
        <f>U23-U$28</f>
        <v/>
      </c>
      <c r="J24" s="257">
        <f>V23-V$28</f>
        <v/>
      </c>
      <c r="K24" s="257">
        <f>W23-W$28</f>
        <v/>
      </c>
      <c r="L24" s="257">
        <f>X23-X$28</f>
        <v/>
      </c>
      <c r="N24" t="n">
        <v>6</v>
      </c>
      <c r="O24" s="258" t="n">
        <v>0.541</v>
      </c>
      <c r="P24" s="258" t="n">
        <v>0.472</v>
      </c>
      <c r="Q24" s="258" t="n">
        <v>0.556</v>
      </c>
      <c r="R24" s="258" t="n">
        <v>0.306</v>
      </c>
      <c r="S24" s="258" t="n">
        <v>0.463</v>
      </c>
      <c r="T24" s="258" t="n">
        <v>0.485</v>
      </c>
      <c r="U24" s="258" t="n">
        <v>0.377</v>
      </c>
      <c r="V24" s="258" t="n">
        <v>0.3720000000000001</v>
      </c>
      <c r="W24" s="258" t="n">
        <v>0.5479999999999999</v>
      </c>
      <c r="X24" s="258" t="n">
        <v>0.423</v>
      </c>
    </row>
    <row r="25" ht="16" customHeight="1">
      <c r="A25" s="761" t="n"/>
      <c r="B25" s="259" t="n">
        <v>6</v>
      </c>
      <c r="C25" s="257">
        <f>O24-O$28</f>
        <v/>
      </c>
      <c r="D25" s="257">
        <f>P24-P$28</f>
        <v/>
      </c>
      <c r="E25" s="257">
        <f>Q24-Q$28</f>
        <v/>
      </c>
      <c r="F25" s="257">
        <f>R24-R$28</f>
        <v/>
      </c>
      <c r="G25" s="257">
        <f>S24-S$28</f>
        <v/>
      </c>
      <c r="H25" s="257">
        <f>T24-T$28</f>
        <v/>
      </c>
      <c r="I25" s="257">
        <f>U24-U$28</f>
        <v/>
      </c>
      <c r="J25" s="257">
        <f>V24-V$28</f>
        <v/>
      </c>
      <c r="K25" s="257">
        <f>W24-W$28</f>
        <v/>
      </c>
      <c r="L25" s="257">
        <f>X24-X$28</f>
        <v/>
      </c>
      <c r="N25" t="n">
        <v>7</v>
      </c>
      <c r="O25" s="258" t="n">
        <v>0.516</v>
      </c>
      <c r="P25" s="258" t="n">
        <v>0.429</v>
      </c>
      <c r="Q25" s="258" t="n">
        <v>0.516</v>
      </c>
      <c r="R25" s="258" t="n">
        <v>0.284</v>
      </c>
      <c r="S25" s="258" t="n">
        <v>0.4379999999999999</v>
      </c>
      <c r="T25" s="258" t="n">
        <v>0.457</v>
      </c>
      <c r="U25" s="258" t="n">
        <v>0.349</v>
      </c>
      <c r="V25" s="258" t="n">
        <v>0.34</v>
      </c>
      <c r="W25" s="258" t="n">
        <v>0.529</v>
      </c>
      <c r="X25" s="258" t="n">
        <v>0.396</v>
      </c>
    </row>
    <row r="26" ht="16" customHeight="1">
      <c r="A26" s="761" t="n"/>
      <c r="B26" s="259" t="n">
        <v>7</v>
      </c>
      <c r="C26" s="257">
        <f>O25-O$28</f>
        <v/>
      </c>
      <c r="D26" s="257">
        <f>P25-P$28</f>
        <v/>
      </c>
      <c r="E26" s="257">
        <f>Q25-Q$28</f>
        <v/>
      </c>
      <c r="F26" s="257">
        <f>R25-R$28</f>
        <v/>
      </c>
      <c r="G26" s="257">
        <f>S25-S$28</f>
        <v/>
      </c>
      <c r="H26" s="257">
        <f>T25-T$28</f>
        <v/>
      </c>
      <c r="I26" s="257">
        <f>U25-U$28</f>
        <v/>
      </c>
      <c r="J26" s="257">
        <f>V25-V$28</f>
        <v/>
      </c>
      <c r="K26" s="257">
        <f>W25-W$28</f>
        <v/>
      </c>
      <c r="L26" s="257">
        <f>X25-X$28</f>
        <v/>
      </c>
      <c r="N26" t="n">
        <v>8</v>
      </c>
      <c r="O26" s="258" t="n">
        <v>0.495</v>
      </c>
      <c r="P26" s="258" t="n">
        <v>0.405</v>
      </c>
      <c r="Q26" s="258" t="n">
        <v>0.503</v>
      </c>
      <c r="R26" s="258" t="n">
        <v>0.271</v>
      </c>
      <c r="S26" s="258" t="n">
        <v>0.415</v>
      </c>
      <c r="T26" s="258" t="n">
        <v>0.433</v>
      </c>
      <c r="U26" s="258" t="n">
        <v>0.324</v>
      </c>
      <c r="V26" s="258" t="n">
        <v>0.314</v>
      </c>
      <c r="W26" s="258" t="n">
        <v>0.484</v>
      </c>
      <c r="X26" s="258" t="n">
        <v>0.371</v>
      </c>
    </row>
    <row r="27" ht="16" customHeight="1">
      <c r="A27" s="761" t="n"/>
      <c r="B27" s="259" t="n">
        <v>8</v>
      </c>
      <c r="C27" s="257">
        <f>O26-O$28</f>
        <v/>
      </c>
      <c r="D27" s="257">
        <f>P26-P$28</f>
        <v/>
      </c>
      <c r="E27" s="257">
        <f>Q26-Q$28</f>
        <v/>
      </c>
      <c r="F27" s="257">
        <f>R26-R$28</f>
        <v/>
      </c>
      <c r="G27" s="257">
        <f>S26-S$28</f>
        <v/>
      </c>
      <c r="H27" s="257">
        <f>T26-T$28</f>
        <v/>
      </c>
      <c r="I27" s="257">
        <f>U26-U$28</f>
        <v/>
      </c>
      <c r="J27" s="257">
        <f>V26-V$28</f>
        <v/>
      </c>
      <c r="K27" s="257">
        <f>W26-W$28</f>
        <v/>
      </c>
      <c r="L27" s="257">
        <f>X26-X$28</f>
        <v/>
      </c>
      <c r="N27" t="n">
        <v>9</v>
      </c>
      <c r="O27" s="258" t="n">
        <v>0.465</v>
      </c>
      <c r="P27" s="258" t="n">
        <v>0.371</v>
      </c>
      <c r="Q27" s="258" t="n">
        <v>0.476</v>
      </c>
      <c r="R27" s="258" t="n">
        <v>0.258</v>
      </c>
      <c r="S27" s="258" t="n">
        <v>0.4</v>
      </c>
      <c r="T27" s="258" t="n">
        <v>0.41</v>
      </c>
      <c r="U27" s="258" t="n">
        <v>0.305</v>
      </c>
      <c r="V27" s="258" t="n">
        <v>0.274</v>
      </c>
      <c r="W27" s="258" t="n">
        <v>0.455</v>
      </c>
      <c r="X27" s="258" t="n">
        <v>0.348</v>
      </c>
    </row>
    <row r="28" ht="16" customHeight="1">
      <c r="A28" s="762" t="n"/>
      <c r="B28" s="259" t="n">
        <v>9</v>
      </c>
      <c r="C28" s="257">
        <f>O27-O$28</f>
        <v/>
      </c>
      <c r="D28" s="257">
        <f>P27-P$28</f>
        <v/>
      </c>
      <c r="E28" s="257">
        <f>Q27-Q$28</f>
        <v/>
      </c>
      <c r="F28" s="257">
        <f>R27-R$28</f>
        <v/>
      </c>
      <c r="G28" s="257">
        <f>S27-S$28</f>
        <v/>
      </c>
      <c r="H28" s="257">
        <f>T27-T$28</f>
        <v/>
      </c>
      <c r="I28" s="257">
        <f>U27-U$28</f>
        <v/>
      </c>
      <c r="J28" s="257">
        <f>V27-V$28</f>
        <v/>
      </c>
      <c r="K28" s="257">
        <f>W27-W$28</f>
        <v/>
      </c>
      <c r="L28" s="257">
        <f>X27-X$28</f>
        <v/>
      </c>
      <c r="N28" t="n">
        <v>10</v>
      </c>
      <c r="O28" s="258" t="n">
        <v>0.449</v>
      </c>
      <c r="P28" s="258" t="n">
        <v>0.323</v>
      </c>
      <c r="Q28" s="258" t="n">
        <v>0.449</v>
      </c>
      <c r="R28" s="258" t="n">
        <v>0.247</v>
      </c>
      <c r="S28" s="258" t="n">
        <v>0.381</v>
      </c>
      <c r="T28" s="258" t="n">
        <v>0.39</v>
      </c>
      <c r="U28" s="258" t="n">
        <v>0.284</v>
      </c>
      <c r="V28" s="258" t="n">
        <v>0.255</v>
      </c>
      <c r="W28" s="258" t="n">
        <v>0.425</v>
      </c>
      <c r="X28" s="258" t="n">
        <v>0.328</v>
      </c>
    </row>
    <row r="29" ht="16" customHeight="1">
      <c r="B29" s="259" t="n">
        <v>10</v>
      </c>
      <c r="C29" s="257">
        <f>O28-O$28</f>
        <v/>
      </c>
      <c r="D29" s="257">
        <f>P28-P$28</f>
        <v/>
      </c>
      <c r="E29" s="257">
        <f>Q28-Q$28</f>
        <v/>
      </c>
      <c r="F29" s="257">
        <f>R28-R$28</f>
        <v/>
      </c>
      <c r="G29" s="257">
        <f>S28-S$28</f>
        <v/>
      </c>
      <c r="H29" s="257">
        <f>T28-T$28</f>
        <v/>
      </c>
      <c r="I29" s="257">
        <f>U28-U$28</f>
        <v/>
      </c>
      <c r="J29" s="257">
        <f>V28-V$28</f>
        <v/>
      </c>
      <c r="K29" s="257">
        <f>W28-W$28</f>
        <v/>
      </c>
      <c r="L29" s="257">
        <f>X28-X$28</f>
        <v/>
      </c>
    </row>
    <row r="30" ht="16" customHeight="1">
      <c r="A30" t="inlineStr">
        <is>
          <t>Source; Bureau of Labor Statistics</t>
        </is>
      </c>
      <c r="B30" s="261" t="n"/>
      <c r="C30" s="262" t="n"/>
      <c r="D30" s="262" t="n"/>
      <c r="E30" s="262" t="n"/>
      <c r="F30" s="262" t="n"/>
      <c r="G30" s="262" t="n"/>
      <c r="H30" s="262" t="n"/>
      <c r="I30" s="262" t="n"/>
      <c r="J30" s="262" t="n"/>
      <c r="K30" s="262" t="n"/>
      <c r="L30" s="262" t="n"/>
    </row>
    <row r="31" ht="16" customFormat="1" customHeight="1" s="203">
      <c r="A31" s="203" t="inlineStr">
        <is>
          <t>Thus, if you are valuing a technology firm that is 6 years old, the chance of failure is 11.70%.</t>
        </is>
      </c>
    </row>
    <row r="32" ht="16" customHeight="1">
      <c r="B32" s="203" t="n"/>
      <c r="C32" s="203" t="n"/>
      <c r="D32" s="203" t="n"/>
      <c r="E32" s="203" t="n"/>
      <c r="F32" s="203" t="n"/>
      <c r="G32" s="203" t="n"/>
      <c r="H32" s="203" t="n"/>
      <c r="I32" s="203" t="n"/>
      <c r="J32" s="203" t="n"/>
      <c r="K32" s="203" t="n"/>
      <c r="L32" s="203" t="n"/>
    </row>
    <row r="33" ht="16" customHeight="1">
      <c r="A33" s="260" t="inlineStr">
        <is>
          <t>Factors to consider</t>
        </is>
      </c>
    </row>
    <row r="34" ht="16" customHeight="1">
      <c r="A34" s="203" t="inlineStr">
        <is>
          <t xml:space="preserve">1. The likelihood of failure decreases for larger firms. </t>
        </is>
      </c>
    </row>
    <row r="35" ht="16" customHeight="1">
      <c r="A35" s="203" t="inlineStr">
        <is>
          <t>2. The likelihood of failure decreases with access to capital, and is thus lower for publicly traded firms or firms with multiple high profile VCs</t>
        </is>
      </c>
    </row>
    <row r="36" ht="16" customHeight="1">
      <c r="A36" s="203" t="inlineStr">
        <is>
          <t>3. The likelihood of failure decreases as revenue growth increases, since hope for future growth will sustain the firm.</t>
        </is>
      </c>
    </row>
    <row r="37" ht="16" customHeight="1">
      <c r="A37" s="203" t="inlineStr">
        <is>
          <t>4. The likelihood of failure decreases with better unit economics, higher gross margins on the additional units sold</t>
        </is>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10"/>
  <sheetViews>
    <sheetView workbookViewId="0">
      <selection activeCell="C1" sqref="C1"/>
    </sheetView>
  </sheetViews>
  <sheetFormatPr baseColWidth="10" defaultRowHeight="13"/>
  <cols>
    <col width="27.5" bestFit="1" customWidth="1" min="1" max="1"/>
    <col width="15" bestFit="1" customWidth="1" min="2" max="2"/>
    <col width="18.5" bestFit="1" customWidth="1" min="3" max="3"/>
    <col width="21" bestFit="1" customWidth="1" min="4" max="4"/>
    <col width="20" bestFit="1" customWidth="1" min="5" max="5"/>
    <col width="17.6640625" bestFit="1" customWidth="1" min="6" max="6"/>
  </cols>
  <sheetData>
    <row r="1">
      <c r="A1" t="inlineStr">
        <is>
          <t>Mature Market ERP +</t>
        </is>
      </c>
      <c r="B1" s="147" t="n">
        <v>0.0398</v>
      </c>
      <c r="C1" t="inlineStr">
        <is>
          <t>Updated February 1, 2024</t>
        </is>
      </c>
    </row>
    <row r="2" ht="14" customFormat="1" customHeight="1" s="10">
      <c r="A2" s="176" t="inlineStr">
        <is>
          <t>Changing this number will update all your country equity risk premiums.</t>
        </is>
      </c>
      <c r="B2" s="176" t="n"/>
      <c r="C2" s="176" t="n"/>
      <c r="D2" s="176" t="n"/>
      <c r="E2" s="176" t="n"/>
      <c r="F2" s="176" t="n"/>
    </row>
    <row r="4" ht="16" customHeight="1">
      <c r="A4" s="435" t="inlineStr">
        <is>
          <t>Country</t>
        </is>
      </c>
      <c r="B4" s="440" t="inlineStr">
        <is>
          <t>Moody's rating</t>
        </is>
      </c>
      <c r="C4" s="441" t="inlineStr">
        <is>
          <t>Adj. Default Spread</t>
        </is>
      </c>
      <c r="D4" s="441" t="inlineStr">
        <is>
          <t>Equity Risk Premium</t>
        </is>
      </c>
      <c r="E4" s="441" t="inlineStr">
        <is>
          <t>Country Risk Premium</t>
        </is>
      </c>
      <c r="F4" s="441" t="inlineStr">
        <is>
          <t>Corporate Tax Rate</t>
        </is>
      </c>
    </row>
    <row r="5" ht="16" customHeight="1">
      <c r="A5" s="436" t="inlineStr">
        <is>
          <t>Abu Dhabi</t>
        </is>
      </c>
      <c r="B5" s="120" t="inlineStr">
        <is>
          <t>Aa2</t>
        </is>
      </c>
      <c r="C5" s="119" t="n">
        <v>0.005377876270766179</v>
      </c>
      <c r="D5" s="119">
        <f>$B$1+E5</f>
        <v/>
      </c>
      <c r="E5" s="119" t="n">
        <v>0.007219473999336784</v>
      </c>
      <c r="F5" s="119" t="n">
        <v>0.15</v>
      </c>
    </row>
    <row r="6" ht="16" customHeight="1">
      <c r="A6" s="436" t="inlineStr">
        <is>
          <t>Albania</t>
        </is>
      </c>
      <c r="B6" s="120" t="inlineStr">
        <is>
          <t>B1</t>
        </is>
      </c>
      <c r="C6" s="119" t="n">
        <v>0.04904110980246301</v>
      </c>
      <c r="D6" s="119">
        <f>$B$1+E6</f>
        <v/>
      </c>
      <c r="E6" s="119" t="n">
        <v>0.06583472718442829</v>
      </c>
      <c r="F6" s="119" t="n">
        <v>0.15</v>
      </c>
    </row>
    <row r="7" ht="16" customHeight="1">
      <c r="A7" s="437" t="inlineStr">
        <is>
          <t>Algeria</t>
        </is>
      </c>
      <c r="B7" s="120" t="inlineStr">
        <is>
          <t>NR</t>
        </is>
      </c>
      <c r="C7" s="119" t="n">
        <v>0.04904110980246301</v>
      </c>
      <c r="D7" s="119">
        <f>$B$1+E7</f>
        <v/>
      </c>
      <c r="E7" s="119" t="n">
        <v>0.06583472718442829</v>
      </c>
      <c r="F7" s="119" t="n">
        <v>0.26</v>
      </c>
    </row>
    <row r="8" ht="16" customHeight="1">
      <c r="A8" s="436" t="inlineStr">
        <is>
          <t>Andorra (Principality of)</t>
        </is>
      </c>
      <c r="B8" s="120" t="inlineStr">
        <is>
          <t>Baa2</t>
        </is>
      </c>
      <c r="C8" s="119" t="n">
        <v>0.02074323704438383</v>
      </c>
      <c r="D8" s="119">
        <f>$B$1+E8</f>
        <v/>
      </c>
      <c r="E8" s="119" t="n">
        <v>0.02784654256887045</v>
      </c>
      <c r="F8" s="119" t="n">
        <v>0.1898</v>
      </c>
    </row>
    <row r="9" ht="16" customHeight="1">
      <c r="A9" s="436" t="inlineStr">
        <is>
          <t>Angola</t>
        </is>
      </c>
      <c r="B9" s="120" t="inlineStr">
        <is>
          <t>B3</t>
        </is>
      </c>
      <c r="C9" s="119" t="n">
        <v>0.07080870423175468</v>
      </c>
      <c r="D9" s="119">
        <f>$B$1+E9</f>
        <v/>
      </c>
      <c r="E9" s="119" t="n">
        <v>0.09505640765793431</v>
      </c>
      <c r="F9" s="119" t="n">
        <v>0.25</v>
      </c>
    </row>
    <row r="10" ht="16" customHeight="1">
      <c r="A10" s="436" t="inlineStr">
        <is>
          <t>Anguilla</t>
        </is>
      </c>
      <c r="B10" s="604" t="inlineStr">
        <is>
          <t>NR</t>
        </is>
      </c>
      <c r="C10" s="173" t="n">
        <v>0.1054310997313879</v>
      </c>
      <c r="D10" s="119">
        <f>$B$1+E10</f>
        <v/>
      </c>
      <c r="E10" s="173" t="n">
        <v>0.1875348819700155</v>
      </c>
      <c r="F10" s="173" t="n">
        <v>0.2724561140242252</v>
      </c>
    </row>
    <row r="11" ht="16" customHeight="1">
      <c r="A11" s="436" t="inlineStr">
        <is>
          <t>Antigua &amp; Barbuda</t>
        </is>
      </c>
      <c r="B11" s="604" t="inlineStr">
        <is>
          <t>NR</t>
        </is>
      </c>
      <c r="C11" s="173" t="n">
        <v>0.1054310997313879</v>
      </c>
      <c r="D11" s="119">
        <f>$B$1+E11</f>
        <v/>
      </c>
      <c r="E11" s="173" t="n">
        <v>0.1875348819700155</v>
      </c>
      <c r="F11" s="173" t="n">
        <v>0.2724561140242252</v>
      </c>
    </row>
    <row r="12" ht="16" customHeight="1">
      <c r="A12" s="436" t="inlineStr">
        <is>
          <t>Argentina</t>
        </is>
      </c>
      <c r="B12" s="120" t="inlineStr">
        <is>
          <t>Ca</t>
        </is>
      </c>
      <c r="C12" s="119" t="n">
        <v>0.1307336112488635</v>
      </c>
      <c r="D12" s="119">
        <f>$B$1+E12</f>
        <v/>
      </c>
      <c r="E12" s="119" t="n">
        <v>0.1755019750791156</v>
      </c>
      <c r="F12" s="119" t="n">
        <v>0.35</v>
      </c>
    </row>
    <row r="13" ht="16" customHeight="1">
      <c r="A13" s="436" t="inlineStr">
        <is>
          <t>Armenia</t>
        </is>
      </c>
      <c r="B13" s="120" t="inlineStr">
        <is>
          <t>Ba3</t>
        </is>
      </c>
      <c r="C13" s="119" t="n">
        <v>0.03918166997272502</v>
      </c>
      <c r="D13" s="119">
        <f>$B$1+E13</f>
        <v/>
      </c>
      <c r="E13" s="119" t="n">
        <v>0.05259902485231086</v>
      </c>
      <c r="F13" s="119" t="n">
        <v>0.18</v>
      </c>
    </row>
    <row r="14" ht="16" customHeight="1">
      <c r="A14" s="436" t="inlineStr">
        <is>
          <t>Aruba</t>
        </is>
      </c>
      <c r="B14" s="120" t="inlineStr">
        <is>
          <t>Baa2</t>
        </is>
      </c>
      <c r="C14" s="119" t="n">
        <v>0.02074323704438383</v>
      </c>
      <c r="D14" s="119">
        <f>$B$1+E14</f>
        <v/>
      </c>
      <c r="E14" s="119" t="n">
        <v>0.02784654256887045</v>
      </c>
      <c r="F14" s="119" t="n">
        <v>0.25</v>
      </c>
    </row>
    <row r="15" ht="16" customHeight="1">
      <c r="A15" s="436" t="inlineStr">
        <is>
          <t>Australia</t>
        </is>
      </c>
      <c r="B15" s="120" t="inlineStr">
        <is>
          <t>Aaa</t>
        </is>
      </c>
      <c r="C15" s="119" t="n">
        <v>0</v>
      </c>
      <c r="D15" s="119">
        <f>$B$1+E15</f>
        <v/>
      </c>
      <c r="E15" s="119" t="n">
        <v>0</v>
      </c>
      <c r="F15" s="119" t="n">
        <v>0.3</v>
      </c>
    </row>
    <row r="16" ht="16" customHeight="1">
      <c r="A16" s="436" t="inlineStr">
        <is>
          <t>Austria</t>
        </is>
      </c>
      <c r="B16" s="120" t="inlineStr">
        <is>
          <t>Aa1</t>
        </is>
      </c>
      <c r="C16" s="119" t="n">
        <v>0.004353518885858335</v>
      </c>
      <c r="D16" s="119">
        <f>$B$1+E16</f>
        <v/>
      </c>
      <c r="E16" s="119" t="n">
        <v>0.005844336094701204</v>
      </c>
      <c r="F16" s="119" t="n">
        <v>0.24</v>
      </c>
    </row>
    <row r="17" ht="16" customHeight="1">
      <c r="A17" s="436" t="inlineStr">
        <is>
          <t>Azerbaijan</t>
        </is>
      </c>
      <c r="B17" s="120" t="inlineStr">
        <is>
          <t>Ba1</t>
        </is>
      </c>
      <c r="C17" s="119" t="n">
        <v>0.02727351537317134</v>
      </c>
      <c r="D17" s="119">
        <f>$B$1+E17</f>
        <v/>
      </c>
      <c r="E17" s="119" t="n">
        <v>0.03661304671092226</v>
      </c>
      <c r="F17" s="119" t="n">
        <v>0.2</v>
      </c>
    </row>
    <row r="18" ht="16" customHeight="1">
      <c r="A18" s="436" t="inlineStr">
        <is>
          <t>Bahamas</t>
        </is>
      </c>
      <c r="B18" s="120" t="inlineStr">
        <is>
          <t>B1</t>
        </is>
      </c>
      <c r="C18" s="119" t="n">
        <v>0.04904110980246301</v>
      </c>
      <c r="D18" s="119">
        <f>$B$1+E18</f>
        <v/>
      </c>
      <c r="E18" s="119" t="n">
        <v>0.06583472718442829</v>
      </c>
      <c r="F18" s="119" t="n">
        <v>0</v>
      </c>
    </row>
    <row r="19" ht="16" customHeight="1">
      <c r="A19" s="436" t="inlineStr">
        <is>
          <t>Bahrain</t>
        </is>
      </c>
      <c r="B19" s="120" t="inlineStr">
        <is>
          <t>B2</t>
        </is>
      </c>
      <c r="C19" s="119" t="n">
        <v>0.05992490701710886</v>
      </c>
      <c r="D19" s="119">
        <f>$B$1+E19</f>
        <v/>
      </c>
      <c r="E19" s="119" t="n">
        <v>0.08044556742118129</v>
      </c>
      <c r="F19" s="119" t="n">
        <v>0</v>
      </c>
    </row>
    <row r="20" ht="16" customHeight="1">
      <c r="A20" s="436" t="inlineStr">
        <is>
          <t>Bangladesh</t>
        </is>
      </c>
      <c r="B20" s="120" t="inlineStr">
        <is>
          <t>B1</t>
        </is>
      </c>
      <c r="C20" s="119" t="n">
        <v>0.04904110980246301</v>
      </c>
      <c r="D20" s="119">
        <f>$B$1+E20</f>
        <v/>
      </c>
      <c r="E20" s="119" t="n">
        <v>0.06583472718442829</v>
      </c>
      <c r="F20" s="119" t="n">
        <v>0.3</v>
      </c>
    </row>
    <row r="21" ht="16" customHeight="1">
      <c r="A21" s="436" t="inlineStr">
        <is>
          <t>Barbados</t>
        </is>
      </c>
      <c r="B21" s="120" t="inlineStr">
        <is>
          <t>B3</t>
        </is>
      </c>
      <c r="C21" s="119" t="n">
        <v>0.07080870423175468</v>
      </c>
      <c r="D21" s="119">
        <f>$B$1+E21</f>
        <v/>
      </c>
      <c r="E21" s="119" t="n">
        <v>0.09505640765793431</v>
      </c>
      <c r="F21" s="119" t="n">
        <v>0.055</v>
      </c>
    </row>
    <row r="22" ht="16" customHeight="1">
      <c r="A22" s="436" t="inlineStr">
        <is>
          <t>Belarus</t>
        </is>
      </c>
      <c r="B22" s="120" t="inlineStr">
        <is>
          <t>C</t>
        </is>
      </c>
      <c r="C22" s="119" t="n">
        <v>0.175</v>
      </c>
      <c r="D22" s="119">
        <f>$B$1+E22</f>
        <v/>
      </c>
      <c r="E22" s="119" t="n">
        <v>0.2349269277078294</v>
      </c>
      <c r="F22" s="119" t="n">
        <v>0.18</v>
      </c>
    </row>
    <row r="23" ht="16" customHeight="1">
      <c r="A23" s="436" t="inlineStr">
        <is>
          <t>Belgium</t>
        </is>
      </c>
      <c r="B23" s="120" t="inlineStr">
        <is>
          <t>Aa3</t>
        </is>
      </c>
      <c r="C23" s="119" t="n">
        <v>0.006530278328787503</v>
      </c>
      <c r="D23" s="119">
        <f>$B$1+E23</f>
        <v/>
      </c>
      <c r="E23" s="119" t="n">
        <v>0.008766504142051809</v>
      </c>
      <c r="F23" s="119" t="n">
        <v>0.25</v>
      </c>
    </row>
    <row r="24" ht="16" customHeight="1">
      <c r="A24" s="436" t="inlineStr">
        <is>
          <t>Belize</t>
        </is>
      </c>
      <c r="B24" s="120" t="inlineStr">
        <is>
          <t>Caa2</t>
        </is>
      </c>
      <c r="C24" s="119" t="n">
        <v>0.09808221960492602</v>
      </c>
      <c r="D24" s="119">
        <f>$B$1+E24</f>
        <v/>
      </c>
      <c r="E24" s="119" t="n">
        <v>0.1316694543688566</v>
      </c>
      <c r="F24" s="119" t="n">
        <v>0.2853</v>
      </c>
    </row>
    <row r="25" ht="16" customHeight="1">
      <c r="A25" s="436" t="inlineStr">
        <is>
          <t>Benin</t>
        </is>
      </c>
      <c r="B25" s="120" t="inlineStr">
        <is>
          <t>B1</t>
        </is>
      </c>
      <c r="C25" s="119" t="n">
        <v>0.04904110980246301</v>
      </c>
      <c r="D25" s="119">
        <f>$B$1+E25</f>
        <v/>
      </c>
      <c r="E25" s="119" t="n">
        <v>0.06583472718442829</v>
      </c>
      <c r="F25" s="119" t="n">
        <v>0.3</v>
      </c>
    </row>
    <row r="26" ht="16" customHeight="1">
      <c r="A26" s="436" t="inlineStr">
        <is>
          <t>Bermuda</t>
        </is>
      </c>
      <c r="B26" s="120" t="inlineStr">
        <is>
          <t>A2</t>
        </is>
      </c>
      <c r="C26" s="119" t="n">
        <v>0.009219216464170593</v>
      </c>
      <c r="D26" s="119">
        <f>$B$1+E26</f>
        <v/>
      </c>
      <c r="E26" s="119" t="n">
        <v>0.0123762411417202</v>
      </c>
      <c r="F26" s="119" t="n">
        <v>0</v>
      </c>
    </row>
    <row r="27" ht="16" customHeight="1">
      <c r="A27" s="436" t="inlineStr">
        <is>
          <t>Bolivia</t>
        </is>
      </c>
      <c r="B27" s="120" t="inlineStr">
        <is>
          <t>Caa1</t>
        </is>
      </c>
      <c r="C27" s="119" t="n">
        <v>0.08169250144640053</v>
      </c>
      <c r="D27" s="119">
        <f>$B$1+E27</f>
        <v/>
      </c>
      <c r="E27" s="119" t="n">
        <v>0.1096672478946873</v>
      </c>
      <c r="F27" s="119" t="n">
        <v>0.25</v>
      </c>
    </row>
    <row r="28" ht="16" customHeight="1">
      <c r="A28" s="436" t="inlineStr">
        <is>
          <t>Bosnia and Herzegovina</t>
        </is>
      </c>
      <c r="B28" s="120" t="inlineStr">
        <is>
          <t>B3</t>
        </is>
      </c>
      <c r="C28" s="119" t="n">
        <v>0.07080870423175468</v>
      </c>
      <c r="D28" s="119">
        <f>$B$1+E28</f>
        <v/>
      </c>
      <c r="E28" s="119" t="n">
        <v>0.09505640765793431</v>
      </c>
      <c r="F28" s="119" t="n">
        <v>0.1</v>
      </c>
    </row>
    <row r="29" ht="16" customHeight="1">
      <c r="A29" s="436" t="inlineStr">
        <is>
          <t>Botswana</t>
        </is>
      </c>
      <c r="B29" s="120" t="inlineStr">
        <is>
          <t>A3</t>
        </is>
      </c>
      <c r="C29" s="119" t="n">
        <v>0.01306055665757501</v>
      </c>
      <c r="D29" s="119">
        <f>$B$1+E29</f>
        <v/>
      </c>
      <c r="E29" s="119" t="n">
        <v>0.01753300828410362</v>
      </c>
      <c r="F29" s="119" t="n">
        <v>0.22</v>
      </c>
    </row>
    <row r="30" ht="16" customHeight="1">
      <c r="A30" s="436" t="inlineStr">
        <is>
          <t>Brazil</t>
        </is>
      </c>
      <c r="B30" s="120" t="inlineStr">
        <is>
          <t>Ba2</t>
        </is>
      </c>
      <c r="C30" s="119" t="n">
        <v>0.032779436317051</v>
      </c>
      <c r="D30" s="119">
        <f>$B$1+E30</f>
        <v/>
      </c>
      <c r="E30" s="119" t="n">
        <v>0.0440044129483385</v>
      </c>
      <c r="F30" s="119" t="n">
        <v>0.34</v>
      </c>
    </row>
    <row r="31" ht="16" customHeight="1">
      <c r="A31" s="436" t="inlineStr">
        <is>
          <t>British Virgin Islands</t>
        </is>
      </c>
      <c r="B31" s="120" t="inlineStr">
        <is>
          <t>Ba2</t>
        </is>
      </c>
      <c r="C31" s="119" t="n">
        <v>0.032779436317051</v>
      </c>
      <c r="D31" s="119">
        <f>$B$1+E31</f>
        <v/>
      </c>
      <c r="E31" s="119" t="n">
        <v>0.0440044129483385</v>
      </c>
      <c r="F31" s="119" t="n">
        <v>0.34</v>
      </c>
    </row>
    <row r="32" ht="16" customHeight="1">
      <c r="A32" s="438" t="inlineStr">
        <is>
          <t>Brunei</t>
        </is>
      </c>
      <c r="B32" s="120" t="inlineStr">
        <is>
          <t>NR</t>
        </is>
      </c>
      <c r="C32" s="119" t="n">
        <v>0.006530278328787503</v>
      </c>
      <c r="D32" s="119">
        <f>$B$1+E32</f>
        <v/>
      </c>
      <c r="E32" s="119" t="n">
        <v>0.008766504142051809</v>
      </c>
      <c r="F32" s="119" t="n">
        <v>0.185</v>
      </c>
    </row>
    <row r="33" ht="16" customHeight="1">
      <c r="A33" s="436" t="inlineStr">
        <is>
          <t>Bulgaria</t>
        </is>
      </c>
      <c r="B33" s="120" t="inlineStr">
        <is>
          <t>Baa1</t>
        </is>
      </c>
      <c r="C33" s="119" t="n">
        <v>0.01741407554343334</v>
      </c>
      <c r="D33" s="119">
        <f>$B$1+E33</f>
        <v/>
      </c>
      <c r="E33" s="119" t="n">
        <v>0.02337734437880483</v>
      </c>
      <c r="F33" s="119" t="n">
        <v>0.1</v>
      </c>
    </row>
    <row r="34" ht="16" customHeight="1">
      <c r="A34" s="436" t="inlineStr">
        <is>
          <t>Burkina Faso</t>
        </is>
      </c>
      <c r="B34" s="120" t="inlineStr">
        <is>
          <t>Caa1</t>
        </is>
      </c>
      <c r="C34" s="119" t="n">
        <v>0.08169250144640053</v>
      </c>
      <c r="D34" s="119">
        <f>$B$1+E34</f>
        <v/>
      </c>
      <c r="E34" s="119" t="n">
        <v>0.1096672478946873</v>
      </c>
      <c r="F34" s="119" t="n">
        <v>0.28</v>
      </c>
    </row>
    <row r="35" ht="16" customHeight="1">
      <c r="A35" s="436" t="inlineStr">
        <is>
          <t>Cambodia</t>
        </is>
      </c>
      <c r="B35" s="120" t="inlineStr">
        <is>
          <t>B2</t>
        </is>
      </c>
      <c r="C35" s="119" t="n">
        <v>0.05992490701710886</v>
      </c>
      <c r="D35" s="119">
        <f>$B$1+E35</f>
        <v/>
      </c>
      <c r="E35" s="119" t="n">
        <v>0.08044556742118129</v>
      </c>
      <c r="F35" s="119" t="n">
        <v>0.2</v>
      </c>
    </row>
    <row r="36" ht="16" customHeight="1">
      <c r="A36" s="436" t="inlineStr">
        <is>
          <t>Cameroon</t>
        </is>
      </c>
      <c r="B36" s="120" t="inlineStr">
        <is>
          <t>Caa1</t>
        </is>
      </c>
      <c r="C36" s="119" t="n">
        <v>0.08169250144640053</v>
      </c>
      <c r="D36" s="119">
        <f>$B$1+E36</f>
        <v/>
      </c>
      <c r="E36" s="119" t="n">
        <v>0.1096672478946873</v>
      </c>
      <c r="F36" s="119" t="n">
        <v>0.33</v>
      </c>
    </row>
    <row r="37" ht="16" customHeight="1">
      <c r="A37" s="436" t="inlineStr">
        <is>
          <t>Canada</t>
        </is>
      </c>
      <c r="B37" s="120" t="inlineStr">
        <is>
          <t>Aaa</t>
        </is>
      </c>
      <c r="C37" s="119" t="n">
        <v>0</v>
      </c>
      <c r="D37" s="119">
        <f>$B$1+E37</f>
        <v/>
      </c>
      <c r="E37" s="119" t="n">
        <v>0</v>
      </c>
      <c r="F37" s="119" t="n">
        <v>0.265</v>
      </c>
    </row>
    <row r="38" ht="16" customHeight="1">
      <c r="A38" s="436" t="inlineStr">
        <is>
          <t>Cape Verde</t>
        </is>
      </c>
      <c r="B38" s="120" t="inlineStr">
        <is>
          <t>B3</t>
        </is>
      </c>
      <c r="C38" s="119" t="n">
        <v>0.07080870423175468</v>
      </c>
      <c r="D38" s="119">
        <f>$B$1+E38</f>
        <v/>
      </c>
      <c r="E38" s="119" t="n">
        <v>0.09505640765793431</v>
      </c>
      <c r="F38" s="119" t="n">
        <v>0</v>
      </c>
    </row>
    <row r="39" ht="16" customHeight="1">
      <c r="A39" s="436" t="inlineStr">
        <is>
          <t>Cayman Islands</t>
        </is>
      </c>
      <c r="B39" s="120" t="inlineStr">
        <is>
          <t>Aa3</t>
        </is>
      </c>
      <c r="C39" s="119" t="n">
        <v>0.006530278328787503</v>
      </c>
      <c r="D39" s="119">
        <f>$B$1+E39</f>
        <v/>
      </c>
      <c r="E39" s="119" t="n">
        <v>0.008766504142051809</v>
      </c>
      <c r="F39" s="119" t="n">
        <v>0</v>
      </c>
    </row>
    <row r="40" ht="16" customHeight="1">
      <c r="A40" s="436" t="inlineStr">
        <is>
          <t>Channel Islands</t>
        </is>
      </c>
      <c r="B40" s="604" t="inlineStr">
        <is>
          <t>NR</t>
        </is>
      </c>
      <c r="C40" s="173" t="n">
        <v>0.009588220147283357</v>
      </c>
      <c r="D40" s="119">
        <f>$B$1+E40</f>
        <v/>
      </c>
      <c r="E40" s="173" t="n">
        <v>0.05887160629364337</v>
      </c>
      <c r="F40" s="173" t="n">
        <v>0.2470734954341358</v>
      </c>
    </row>
    <row r="41" ht="16" customHeight="1">
      <c r="A41" s="436" t="inlineStr">
        <is>
          <t>Chile</t>
        </is>
      </c>
      <c r="B41" s="120" t="inlineStr">
        <is>
          <t>A2</t>
        </is>
      </c>
      <c r="C41" s="119" t="n">
        <v>0.009219216464170593</v>
      </c>
      <c r="D41" s="119">
        <f>$B$1+E41</f>
        <v/>
      </c>
      <c r="E41" s="119" t="n">
        <v>0.0123762411417202</v>
      </c>
      <c r="F41" s="119" t="n">
        <v>0.27</v>
      </c>
    </row>
    <row r="42" ht="16" customHeight="1">
      <c r="A42" s="436" t="inlineStr">
        <is>
          <t>China</t>
        </is>
      </c>
      <c r="B42" s="120" t="inlineStr">
        <is>
          <t>A1</t>
        </is>
      </c>
      <c r="C42" s="119" t="n">
        <v>0.007682680386808828</v>
      </c>
      <c r="D42" s="119">
        <f>$B$1+E42</f>
        <v/>
      </c>
      <c r="E42" s="119" t="n">
        <v>0.01031353428476683</v>
      </c>
      <c r="F42" s="119" t="n">
        <v>0.25</v>
      </c>
    </row>
    <row r="43" ht="16" customHeight="1">
      <c r="A43" s="436" t="inlineStr">
        <is>
          <t>Colombia</t>
        </is>
      </c>
      <c r="B43" s="120" t="inlineStr">
        <is>
          <t>Baa2</t>
        </is>
      </c>
      <c r="C43" s="119" t="n">
        <v>0.02074323704438383</v>
      </c>
      <c r="D43" s="119">
        <f>$B$1+E43</f>
        <v/>
      </c>
      <c r="E43" s="119" t="n">
        <v>0.02784654256887045</v>
      </c>
      <c r="F43" s="119" t="n">
        <v>0.35</v>
      </c>
    </row>
    <row r="44" ht="16" customHeight="1">
      <c r="A44" s="436" t="inlineStr">
        <is>
          <t>Congo (Democratic Republic of)</t>
        </is>
      </c>
      <c r="B44" s="120" t="inlineStr">
        <is>
          <t>B3</t>
        </is>
      </c>
      <c r="C44" s="119" t="n">
        <v>0.07080870423175468</v>
      </c>
      <c r="D44" s="119">
        <f>$B$1+E44</f>
        <v/>
      </c>
      <c r="E44" s="119" t="n">
        <v>0.09505640765793431</v>
      </c>
      <c r="F44" s="119" t="n">
        <v>0.3</v>
      </c>
    </row>
    <row r="45" ht="16" customHeight="1">
      <c r="A45" s="436" t="inlineStr">
        <is>
          <t>Congo (Republic of)</t>
        </is>
      </c>
      <c r="B45" s="120" t="inlineStr">
        <is>
          <t>Caa2</t>
        </is>
      </c>
      <c r="C45" s="119" t="n">
        <v>0.09808221960492602</v>
      </c>
      <c r="D45" s="119">
        <f>$B$1+E45</f>
        <v/>
      </c>
      <c r="E45" s="119" t="n">
        <v>0.1316694543688566</v>
      </c>
      <c r="F45" s="119" t="n">
        <v>0.28</v>
      </c>
    </row>
    <row r="46" ht="16" customHeight="1">
      <c r="A46" s="436" t="inlineStr">
        <is>
          <t>Cook Islands</t>
        </is>
      </c>
      <c r="B46" s="120" t="inlineStr">
        <is>
          <t>B1</t>
        </is>
      </c>
      <c r="C46" s="119" t="n">
        <v>0.04904110980246301</v>
      </c>
      <c r="D46" s="119">
        <f>$B$1+E46</f>
        <v/>
      </c>
      <c r="E46" s="119" t="n">
        <v>0.06583472718442829</v>
      </c>
      <c r="F46" s="119" t="n">
        <v>0.2974</v>
      </c>
    </row>
    <row r="47" ht="16" customHeight="1">
      <c r="A47" s="436" t="inlineStr">
        <is>
          <t>Costa Rica</t>
        </is>
      </c>
      <c r="B47" s="120" t="inlineStr">
        <is>
          <t>B1</t>
        </is>
      </c>
      <c r="C47" s="119" t="n">
        <v>0.04904110980246301</v>
      </c>
      <c r="D47" s="119">
        <f>$B$1+E47</f>
        <v/>
      </c>
      <c r="E47" s="119" t="n">
        <v>0.06583472718442829</v>
      </c>
      <c r="F47" s="119" t="n">
        <v>0.3</v>
      </c>
    </row>
    <row r="48" ht="16" customHeight="1">
      <c r="A48" s="436" t="inlineStr">
        <is>
          <t>Croatia</t>
        </is>
      </c>
      <c r="B48" s="120" t="inlineStr">
        <is>
          <t>Baa2</t>
        </is>
      </c>
      <c r="C48" s="119" t="n">
        <v>0.02074323704438383</v>
      </c>
      <c r="D48" s="119">
        <f>$B$1+E48</f>
        <v/>
      </c>
      <c r="E48" s="119" t="n">
        <v>0.02784654256887045</v>
      </c>
      <c r="F48" s="119" t="n">
        <v>0.18</v>
      </c>
    </row>
    <row r="49" ht="16" customHeight="1">
      <c r="A49" s="436" t="inlineStr">
        <is>
          <t>Cuba</t>
        </is>
      </c>
      <c r="B49" s="120" t="inlineStr">
        <is>
          <t>Ca</t>
        </is>
      </c>
      <c r="C49" s="119" t="n">
        <v>0.1307336112488635</v>
      </c>
      <c r="D49" s="119">
        <f>$B$1+E49</f>
        <v/>
      </c>
      <c r="E49" s="119" t="n">
        <v>0.1755019750791156</v>
      </c>
      <c r="F49" s="119" t="n">
        <v>0.2853</v>
      </c>
    </row>
    <row r="50" ht="16" customHeight="1">
      <c r="A50" s="452" t="inlineStr">
        <is>
          <t>Curaçao</t>
        </is>
      </c>
      <c r="B50" s="120" t="inlineStr">
        <is>
          <t>Baa2</t>
        </is>
      </c>
      <c r="C50" s="119" t="n">
        <v>0.02074323704438383</v>
      </c>
      <c r="D50" s="119">
        <f>$B$1+E50</f>
        <v/>
      </c>
      <c r="E50" s="119" t="n">
        <v>0.02784654256887045</v>
      </c>
      <c r="F50" s="119" t="n">
        <v>0.22</v>
      </c>
    </row>
    <row r="51" ht="16" customHeight="1">
      <c r="A51" s="436" t="inlineStr">
        <is>
          <t>Cyprus</t>
        </is>
      </c>
      <c r="B51" s="120" t="inlineStr">
        <is>
          <t>Baa2</t>
        </is>
      </c>
      <c r="C51" s="119" t="n">
        <v>0.02074323704438383</v>
      </c>
      <c r="D51" s="119">
        <f>$B$1+E51</f>
        <v/>
      </c>
      <c r="E51" s="119" t="n">
        <v>0.02784654256887045</v>
      </c>
      <c r="F51" s="119" t="n">
        <v>0.125</v>
      </c>
    </row>
    <row r="52" ht="16" customHeight="1">
      <c r="A52" s="436" t="inlineStr">
        <is>
          <t>Czech Republic</t>
        </is>
      </c>
      <c r="B52" s="120" t="inlineStr">
        <is>
          <t>Aa3</t>
        </is>
      </c>
      <c r="C52" s="119" t="n">
        <v>0.006530278328787503</v>
      </c>
      <c r="D52" s="119">
        <f>$B$1+E52</f>
        <v/>
      </c>
      <c r="E52" s="119" t="n">
        <v>0.008766504142051809</v>
      </c>
      <c r="F52" s="119" t="n">
        <v>0.19</v>
      </c>
    </row>
    <row r="53" ht="16" customHeight="1">
      <c r="A53" s="436" t="inlineStr">
        <is>
          <t>Denmark</t>
        </is>
      </c>
      <c r="B53" s="120" t="inlineStr">
        <is>
          <t>Aaa</t>
        </is>
      </c>
      <c r="C53" s="119" t="n">
        <v>0</v>
      </c>
      <c r="D53" s="119">
        <f>$B$1+E53</f>
        <v/>
      </c>
      <c r="E53" s="119" t="n">
        <v>0</v>
      </c>
      <c r="F53" s="119" t="n">
        <v>0.22</v>
      </c>
    </row>
    <row r="54" ht="16" customHeight="1">
      <c r="A54" s="436" t="inlineStr">
        <is>
          <t>Dominican Republic</t>
        </is>
      </c>
      <c r="B54" s="120" t="inlineStr">
        <is>
          <t>Ba3</t>
        </is>
      </c>
      <c r="C54" s="119" t="n">
        <v>0.03918166997272502</v>
      </c>
      <c r="D54" s="119">
        <f>$B$1+E54</f>
        <v/>
      </c>
      <c r="E54" s="119" t="n">
        <v>0.05259902485231086</v>
      </c>
      <c r="F54" s="119" t="n">
        <v>0.27</v>
      </c>
    </row>
    <row r="55" ht="16" customHeight="1">
      <c r="A55" s="436" t="inlineStr">
        <is>
          <t>Ecuador</t>
        </is>
      </c>
      <c r="B55" s="120" t="inlineStr">
        <is>
          <t>Caa3</t>
        </is>
      </c>
      <c r="C55" s="119" t="n">
        <v>0.1089660168195719</v>
      </c>
      <c r="D55" s="119">
        <f>$B$1+E55</f>
        <v/>
      </c>
      <c r="E55" s="119" t="n">
        <v>0.1462802946056097</v>
      </c>
      <c r="F55" s="119" t="n">
        <v>0.25</v>
      </c>
    </row>
    <row r="56" ht="16" customHeight="1">
      <c r="A56" s="436" t="inlineStr">
        <is>
          <t>Egypt</t>
        </is>
      </c>
      <c r="B56" s="120" t="inlineStr">
        <is>
          <t>Caa1</t>
        </is>
      </c>
      <c r="C56" s="119" t="n">
        <v>0.08169250144640053</v>
      </c>
      <c r="D56" s="119">
        <f>$B$1+E56</f>
        <v/>
      </c>
      <c r="E56" s="119" t="n">
        <v>0.1096672478946873</v>
      </c>
      <c r="F56" s="119" t="n">
        <v>0.225</v>
      </c>
    </row>
    <row r="57" ht="16" customHeight="1">
      <c r="A57" s="436" t="inlineStr">
        <is>
          <t>El Salvador</t>
        </is>
      </c>
      <c r="B57" s="120" t="inlineStr">
        <is>
          <t>Caa3</t>
        </is>
      </c>
      <c r="C57" s="119" t="n">
        <v>0.1089660168195719</v>
      </c>
      <c r="D57" s="119">
        <f>$B$1+E57</f>
        <v/>
      </c>
      <c r="E57" s="119" t="n">
        <v>0.1462802946056097</v>
      </c>
      <c r="F57" s="119" t="n">
        <v>0.3</v>
      </c>
    </row>
    <row r="58" ht="16" customHeight="1">
      <c r="A58" s="436" t="inlineStr">
        <is>
          <t>Estonia</t>
        </is>
      </c>
      <c r="B58" s="120" t="inlineStr">
        <is>
          <t>A1</t>
        </is>
      </c>
      <c r="C58" s="119" t="n">
        <v>0.007682680386808828</v>
      </c>
      <c r="D58" s="119">
        <f>$B$1+E58</f>
        <v/>
      </c>
      <c r="E58" s="119" t="n">
        <v>0.01031353428476683</v>
      </c>
      <c r="F58" s="119" t="n">
        <v>0.2</v>
      </c>
    </row>
    <row r="59" ht="16" customHeight="1">
      <c r="A59" s="436" t="inlineStr">
        <is>
          <t>Ethiopia</t>
        </is>
      </c>
      <c r="B59" s="120" t="inlineStr">
        <is>
          <t>Caa2</t>
        </is>
      </c>
      <c r="C59" s="119" t="n">
        <v>0.09808221960492602</v>
      </c>
      <c r="D59" s="119">
        <f>$B$1+E59</f>
        <v/>
      </c>
      <c r="E59" s="119" t="n">
        <v>0.1316694543688566</v>
      </c>
      <c r="F59" s="119" t="n">
        <v>0.3</v>
      </c>
    </row>
    <row r="60" ht="16" customHeight="1">
      <c r="A60" s="436" t="inlineStr">
        <is>
          <t>Falkland Islands</t>
        </is>
      </c>
      <c r="B60" s="604" t="inlineStr">
        <is>
          <t>NR</t>
        </is>
      </c>
      <c r="C60" s="173" t="n">
        <v>0.04291508619362226</v>
      </c>
      <c r="D60" s="119">
        <f>$B$1+E60</f>
        <v/>
      </c>
      <c r="E60" s="173" t="n">
        <v>0.1036109105816249</v>
      </c>
      <c r="F60" s="173" t="n">
        <v>0.3159574942603002</v>
      </c>
    </row>
    <row r="61" ht="16" customHeight="1">
      <c r="A61" s="436" t="inlineStr">
        <is>
          <t>Fiji</t>
        </is>
      </c>
      <c r="B61" s="120" t="inlineStr">
        <is>
          <t>B1</t>
        </is>
      </c>
      <c r="C61" s="119" t="n">
        <v>0.04904110980246301</v>
      </c>
      <c r="D61" s="119">
        <f>$B$1+E61</f>
        <v/>
      </c>
      <c r="E61" s="119" t="n">
        <v>0.06583472718442829</v>
      </c>
      <c r="F61" s="119" t="n">
        <v>0.2</v>
      </c>
    </row>
    <row r="62" ht="16" customHeight="1">
      <c r="A62" s="436" t="inlineStr">
        <is>
          <t>Finland</t>
        </is>
      </c>
      <c r="B62" s="120" t="inlineStr">
        <is>
          <t>Aa1</t>
        </is>
      </c>
      <c r="C62" s="119" t="n">
        <v>0.004353518885858335</v>
      </c>
      <c r="D62" s="119">
        <f>$B$1+E62</f>
        <v/>
      </c>
      <c r="E62" s="119" t="n">
        <v>0.005844336094701204</v>
      </c>
      <c r="F62" s="119" t="n">
        <v>0.2</v>
      </c>
    </row>
    <row r="63" ht="16" customHeight="1">
      <c r="A63" s="436" t="inlineStr">
        <is>
          <t>France</t>
        </is>
      </c>
      <c r="B63" s="120" t="inlineStr">
        <is>
          <t>Aa2</t>
        </is>
      </c>
      <c r="C63" s="119" t="n">
        <v>0.005377876270766179</v>
      </c>
      <c r="D63" s="119">
        <f>$B$1+E63</f>
        <v/>
      </c>
      <c r="E63" s="119" t="n">
        <v>0.007219473999336784</v>
      </c>
      <c r="F63" s="119" t="n">
        <v>0.25</v>
      </c>
    </row>
    <row r="64" ht="16" customHeight="1">
      <c r="A64" s="436" t="inlineStr">
        <is>
          <t>French Guiana</t>
        </is>
      </c>
      <c r="B64" s="604" t="inlineStr">
        <is>
          <t>NR</t>
        </is>
      </c>
      <c r="C64" s="173" t="n">
        <v>0.04291508619362226</v>
      </c>
      <c r="D64" s="119">
        <f>$B$1+E64</f>
        <v/>
      </c>
      <c r="E64" s="173" t="n">
        <v>0.1036109105816249</v>
      </c>
      <c r="F64" s="173" t="n">
        <v>0.3159574942603002</v>
      </c>
    </row>
    <row r="65" ht="16" customHeight="1">
      <c r="A65" s="436" t="inlineStr">
        <is>
          <t>Gabon</t>
        </is>
      </c>
      <c r="B65" s="120" t="inlineStr">
        <is>
          <t>Caa1</t>
        </is>
      </c>
      <c r="C65" s="119" t="n">
        <v>0.08169250144640053</v>
      </c>
      <c r="D65" s="119">
        <f>$B$1+E65</f>
        <v/>
      </c>
      <c r="E65" s="119" t="n">
        <v>0.1096672478946873</v>
      </c>
      <c r="F65" s="119" t="n">
        <v>0.3</v>
      </c>
    </row>
    <row r="66" ht="16" customHeight="1">
      <c r="A66" s="437" t="inlineStr">
        <is>
          <t>Gambia</t>
        </is>
      </c>
      <c r="B66" s="120" t="inlineStr">
        <is>
          <t>NR</t>
        </is>
      </c>
      <c r="C66" s="119" t="n">
        <v>0.04904110980246301</v>
      </c>
      <c r="D66" s="119">
        <f>$B$1+E66</f>
        <v/>
      </c>
      <c r="E66" s="119" t="n">
        <v>0.06583472718442829</v>
      </c>
      <c r="F66" s="119" t="n">
        <v>0.31</v>
      </c>
    </row>
    <row r="67" ht="16" customHeight="1">
      <c r="A67" s="436" t="inlineStr">
        <is>
          <t>Georgia</t>
        </is>
      </c>
      <c r="B67" s="120" t="inlineStr">
        <is>
          <t>Ba2</t>
        </is>
      </c>
      <c r="C67" s="119" t="n">
        <v>0.032779436317051</v>
      </c>
      <c r="D67" s="119">
        <f>$B$1+E67</f>
        <v/>
      </c>
      <c r="E67" s="119" t="n">
        <v>0.0440044129483385</v>
      </c>
      <c r="F67" s="119" t="n">
        <v>0.15</v>
      </c>
    </row>
    <row r="68" ht="16" customHeight="1">
      <c r="A68" s="436" t="inlineStr">
        <is>
          <t>Germany</t>
        </is>
      </c>
      <c r="B68" s="120" t="inlineStr">
        <is>
          <t>Aaa</t>
        </is>
      </c>
      <c r="C68" s="119" t="n">
        <v>0</v>
      </c>
      <c r="D68" s="119">
        <f>$B$1+E68</f>
        <v/>
      </c>
      <c r="E68" s="119" t="n">
        <v>0</v>
      </c>
      <c r="F68" s="119" t="n">
        <v>0.3</v>
      </c>
    </row>
    <row r="69" ht="16" customHeight="1">
      <c r="A69" s="436" t="inlineStr">
        <is>
          <t>Ghana</t>
        </is>
      </c>
      <c r="B69" s="120" t="inlineStr">
        <is>
          <t>Caa3</t>
        </is>
      </c>
      <c r="C69" s="119" t="n">
        <v>0.1089660168195719</v>
      </c>
      <c r="D69" s="119">
        <f>$B$1+E69</f>
        <v/>
      </c>
      <c r="E69" s="119" t="n">
        <v>0.1462802946056097</v>
      </c>
      <c r="F69" s="119" t="n">
        <v>0.25</v>
      </c>
    </row>
    <row r="70" ht="16" customHeight="1">
      <c r="A70" s="436" t="inlineStr">
        <is>
          <t>Gibraltar</t>
        </is>
      </c>
      <c r="B70" s="604" t="inlineStr">
        <is>
          <t>NR</t>
        </is>
      </c>
      <c r="C70" s="173" t="n">
        <v>0.009588220147283357</v>
      </c>
      <c r="D70" s="119">
        <f>$B$1+E70</f>
        <v/>
      </c>
      <c r="E70" s="173" t="n">
        <v>0.05887160629364337</v>
      </c>
      <c r="F70" s="173" t="n">
        <v>0.2470734954341358</v>
      </c>
    </row>
    <row r="71" ht="16" customHeight="1">
      <c r="A71" s="436" t="inlineStr">
        <is>
          <t>Greece</t>
        </is>
      </c>
      <c r="B71" s="120" t="inlineStr">
        <is>
          <t>Ba1</t>
        </is>
      </c>
      <c r="C71" s="119" t="n">
        <v>0.02727351537317134</v>
      </c>
      <c r="D71" s="119">
        <f>$B$1+E71</f>
        <v/>
      </c>
      <c r="E71" s="119" t="n">
        <v>0.03661304671092226</v>
      </c>
      <c r="F71" s="119" t="n">
        <v>0.22</v>
      </c>
    </row>
    <row r="72" ht="16" customHeight="1">
      <c r="A72" s="436" t="inlineStr">
        <is>
          <t>Greenland</t>
        </is>
      </c>
      <c r="B72" s="604" t="inlineStr">
        <is>
          <t>NR</t>
        </is>
      </c>
      <c r="C72" s="173">
        <f>J72</f>
        <v/>
      </c>
      <c r="D72" s="119">
        <f>$B$1+E72</f>
        <v/>
      </c>
      <c r="E72" s="173">
        <f>H72</f>
        <v/>
      </c>
      <c r="F72" s="173">
        <f>K72</f>
        <v/>
      </c>
    </row>
    <row r="73" ht="16" customHeight="1">
      <c r="A73" s="436" t="inlineStr">
        <is>
          <t>Guatemala</t>
        </is>
      </c>
      <c r="B73" s="120" t="inlineStr">
        <is>
          <t>Ba1</t>
        </is>
      </c>
      <c r="C73" s="119" t="n">
        <v>0.02727351537317134</v>
      </c>
      <c r="D73" s="119">
        <f>$B$1+E73</f>
        <v/>
      </c>
      <c r="E73" s="119" t="n">
        <v>0.03661304671092226</v>
      </c>
      <c r="F73" s="119" t="n">
        <v>0.25</v>
      </c>
    </row>
    <row r="74" ht="16" customHeight="1">
      <c r="A74" s="436" t="inlineStr">
        <is>
          <t>Guernsey (States of)</t>
        </is>
      </c>
      <c r="B74" s="120" t="inlineStr">
        <is>
          <t>A1</t>
        </is>
      </c>
      <c r="C74" s="119" t="n">
        <v>0.007682680386808828</v>
      </c>
      <c r="D74" s="119">
        <f>$B$1+E74</f>
        <v/>
      </c>
      <c r="E74" s="119" t="n">
        <v>0.01031353428476683</v>
      </c>
      <c r="F74" s="119" t="n">
        <v>0</v>
      </c>
    </row>
    <row r="75" ht="16" customHeight="1">
      <c r="A75" s="438" t="inlineStr">
        <is>
          <t>Guinea</t>
        </is>
      </c>
      <c r="B75" s="120" t="inlineStr">
        <is>
          <t>NR</t>
        </is>
      </c>
      <c r="C75" s="119" t="n">
        <v>0.09808221960492602</v>
      </c>
      <c r="D75" s="119">
        <f>$B$1+E75</f>
        <v/>
      </c>
      <c r="E75" s="119" t="n">
        <v>0.1316694543688566</v>
      </c>
      <c r="F75" s="119" t="n">
        <v>0.2915</v>
      </c>
    </row>
    <row r="76" ht="16" customHeight="1">
      <c r="A76" s="437" t="inlineStr">
        <is>
          <t>Guinea-Bissau</t>
        </is>
      </c>
      <c r="B76" s="120" t="inlineStr">
        <is>
          <t>NR</t>
        </is>
      </c>
      <c r="C76" s="119" t="n">
        <v>0.05992490701710884</v>
      </c>
      <c r="D76" s="119">
        <f>$B$1+E76</f>
        <v/>
      </c>
      <c r="E76" s="119" t="n">
        <v>0.08044556742118129</v>
      </c>
      <c r="F76" s="119" t="n">
        <v>0.2915</v>
      </c>
    </row>
    <row r="77" ht="16" customHeight="1">
      <c r="A77" s="438" t="inlineStr">
        <is>
          <t>Guyana</t>
        </is>
      </c>
      <c r="B77" s="120" t="inlineStr">
        <is>
          <t>NR</t>
        </is>
      </c>
      <c r="C77" s="119" t="n">
        <v>0.01741407554343334</v>
      </c>
      <c r="D77" s="119">
        <f>$B$1+E77</f>
        <v/>
      </c>
      <c r="E77" s="119" t="n">
        <v>0.02337734437880483</v>
      </c>
      <c r="F77" s="119" t="n">
        <v>0.1864</v>
      </c>
    </row>
    <row r="78" ht="16" customHeight="1">
      <c r="A78" s="437" t="inlineStr">
        <is>
          <t>Haiti</t>
        </is>
      </c>
      <c r="B78" s="120" t="inlineStr">
        <is>
          <t>NR</t>
        </is>
      </c>
      <c r="C78" s="119" t="n">
        <v>0.1089660168195719</v>
      </c>
      <c r="D78" s="119">
        <f>$B$1+E78</f>
        <v/>
      </c>
      <c r="E78" s="119" t="n">
        <v>0.1462802946056097</v>
      </c>
      <c r="F78" s="119" t="n">
        <v>0.1864</v>
      </c>
    </row>
    <row r="79" ht="16" customHeight="1">
      <c r="A79" s="436" t="inlineStr">
        <is>
          <t>Honduras</t>
        </is>
      </c>
      <c r="B79" s="120" t="inlineStr">
        <is>
          <t>B1</t>
        </is>
      </c>
      <c r="C79" s="119" t="n">
        <v>0.04904110980246301</v>
      </c>
      <c r="D79" s="119">
        <f>$B$1+E79</f>
        <v/>
      </c>
      <c r="E79" s="119" t="n">
        <v>0.06583472718442829</v>
      </c>
      <c r="F79" s="119" t="n">
        <v>0.25</v>
      </c>
    </row>
    <row r="80" ht="16" customHeight="1">
      <c r="A80" s="436" t="inlineStr">
        <is>
          <t>Hong Kong</t>
        </is>
      </c>
      <c r="B80" s="120" t="inlineStr">
        <is>
          <t>Aa3</t>
        </is>
      </c>
      <c r="C80" s="119" t="n">
        <v>0.006530278328787503</v>
      </c>
      <c r="D80" s="119">
        <f>$B$1+E80</f>
        <v/>
      </c>
      <c r="E80" s="119" t="n">
        <v>0.008766504142051809</v>
      </c>
      <c r="F80" s="119" t="n">
        <v>0.165</v>
      </c>
    </row>
    <row r="81" ht="16" customHeight="1">
      <c r="A81" s="436" t="inlineStr">
        <is>
          <t>Hungary</t>
        </is>
      </c>
      <c r="B81" s="120" t="inlineStr">
        <is>
          <t>Baa2</t>
        </is>
      </c>
      <c r="C81" s="119" t="n">
        <v>0.02074323704438383</v>
      </c>
      <c r="D81" s="119">
        <f>$B$1+E81</f>
        <v/>
      </c>
      <c r="E81" s="119" t="n">
        <v>0.02784654256887045</v>
      </c>
      <c r="F81" s="119" t="n">
        <v>0.09</v>
      </c>
    </row>
    <row r="82" ht="16" customHeight="1">
      <c r="A82" s="436" t="inlineStr">
        <is>
          <t>Iceland</t>
        </is>
      </c>
      <c r="B82" s="120" t="inlineStr">
        <is>
          <t>A2</t>
        </is>
      </c>
      <c r="C82" s="119" t="n">
        <v>0.009219216464170593</v>
      </c>
      <c r="D82" s="119">
        <f>$B$1+E82</f>
        <v/>
      </c>
      <c r="E82" s="119" t="n">
        <v>0.0123762411417202</v>
      </c>
      <c r="F82" s="119" t="n">
        <v>0.2</v>
      </c>
    </row>
    <row r="83" ht="16" customHeight="1">
      <c r="A83" s="436" t="inlineStr">
        <is>
          <t>India</t>
        </is>
      </c>
      <c r="B83" s="120" t="inlineStr">
        <is>
          <t>Baa3</t>
        </is>
      </c>
      <c r="C83" s="119" t="n">
        <v>0.02394435387222085</v>
      </c>
      <c r="D83" s="119">
        <f>$B$1+E83</f>
        <v/>
      </c>
      <c r="E83" s="119" t="n">
        <v>0.03214384852085662</v>
      </c>
      <c r="F83" s="119" t="n">
        <v>0.3</v>
      </c>
    </row>
    <row r="84" ht="16" customHeight="1">
      <c r="A84" s="436" t="inlineStr">
        <is>
          <t>Indonesia</t>
        </is>
      </c>
      <c r="B84" s="120" t="inlineStr">
        <is>
          <t>Baa2</t>
        </is>
      </c>
      <c r="C84" s="119" t="n">
        <v>0.02074323704438383</v>
      </c>
      <c r="D84" s="119">
        <f>$B$1+E84</f>
        <v/>
      </c>
      <c r="E84" s="119" t="n">
        <v>0.02784654256887045</v>
      </c>
      <c r="F84" s="119" t="n">
        <v>0.22</v>
      </c>
    </row>
    <row r="85" ht="16" customHeight="1">
      <c r="A85" s="438" t="inlineStr">
        <is>
          <t>Iran</t>
        </is>
      </c>
      <c r="B85" s="120" t="inlineStr">
        <is>
          <t>NR</t>
        </is>
      </c>
      <c r="C85" s="119" t="n">
        <v>0.07080870423175468</v>
      </c>
      <c r="D85" s="119">
        <f>$B$1+E85</f>
        <v/>
      </c>
      <c r="E85" s="119" t="n">
        <v>0.09505640765793431</v>
      </c>
      <c r="F85" s="119" t="n">
        <v>0.2023</v>
      </c>
    </row>
    <row r="86" ht="16" customHeight="1">
      <c r="A86" s="436" t="inlineStr">
        <is>
          <t>Iraq</t>
        </is>
      </c>
      <c r="B86" s="120" t="inlineStr">
        <is>
          <t>Caa1</t>
        </is>
      </c>
      <c r="C86" s="119" t="n">
        <v>0.08169250144640053</v>
      </c>
      <c r="D86" s="119">
        <f>$B$1+E86</f>
        <v/>
      </c>
      <c r="E86" s="119" t="n">
        <v>0.1096672478946873</v>
      </c>
      <c r="F86" s="119" t="n">
        <v>0.15</v>
      </c>
    </row>
    <row r="87" ht="16" customHeight="1">
      <c r="A87" s="436" t="inlineStr">
        <is>
          <t>Ireland</t>
        </is>
      </c>
      <c r="B87" s="120" t="inlineStr">
        <is>
          <t>Aa3</t>
        </is>
      </c>
      <c r="C87" s="119" t="n">
        <v>0.006530278328787503</v>
      </c>
      <c r="D87" s="119">
        <f>$B$1+E87</f>
        <v/>
      </c>
      <c r="E87" s="119" t="n">
        <v>0.008766504142051809</v>
      </c>
      <c r="F87" s="119" t="n">
        <v>0.125</v>
      </c>
    </row>
    <row r="88" ht="16" customHeight="1">
      <c r="A88" s="436" t="inlineStr">
        <is>
          <t>Isle of Man</t>
        </is>
      </c>
      <c r="B88" s="120" t="inlineStr">
        <is>
          <t>Aa3</t>
        </is>
      </c>
      <c r="C88" s="119" t="n">
        <v>0.006530278328787503</v>
      </c>
      <c r="D88" s="119">
        <f>$B$1+E88</f>
        <v/>
      </c>
      <c r="E88" s="119" t="n">
        <v>0.008766504142051809</v>
      </c>
      <c r="F88" s="119" t="n">
        <v>0</v>
      </c>
    </row>
    <row r="89" ht="16" customHeight="1">
      <c r="A89" s="436" t="inlineStr">
        <is>
          <t>Israel</t>
        </is>
      </c>
      <c r="B89" s="120" t="inlineStr">
        <is>
          <t>A1</t>
        </is>
      </c>
      <c r="C89" s="119" t="n">
        <v>0.007682680386808828</v>
      </c>
      <c r="D89" s="119">
        <f>$B$1+E89</f>
        <v/>
      </c>
      <c r="E89" s="119" t="n">
        <v>0.01031353428476683</v>
      </c>
      <c r="F89" s="119" t="n">
        <v>0.23</v>
      </c>
    </row>
    <row r="90" ht="16" customHeight="1">
      <c r="A90" s="436" t="inlineStr">
        <is>
          <t>Italy</t>
        </is>
      </c>
      <c r="B90" s="120" t="inlineStr">
        <is>
          <t>Baa3</t>
        </is>
      </c>
      <c r="C90" s="119" t="n">
        <v>0.02394435387222085</v>
      </c>
      <c r="D90" s="119">
        <f>$B$1+E90</f>
        <v/>
      </c>
      <c r="E90" s="119" t="n">
        <v>0.03214384852085662</v>
      </c>
      <c r="F90" s="119" t="n">
        <v>0.24</v>
      </c>
    </row>
    <row r="91" ht="16" customHeight="1">
      <c r="A91" s="436" t="inlineStr">
        <is>
          <t>Ivory Coast</t>
        </is>
      </c>
      <c r="B91" s="120" t="inlineStr">
        <is>
          <t>Ba3</t>
        </is>
      </c>
      <c r="C91" s="119" t="n">
        <v>0.03918166997272502</v>
      </c>
      <c r="D91" s="119">
        <f>$B$1+E91</f>
        <v/>
      </c>
      <c r="E91" s="119" t="n">
        <v>0.05259902485231086</v>
      </c>
      <c r="F91" s="119" t="n">
        <v>0.25</v>
      </c>
    </row>
    <row r="92" ht="16" customHeight="1">
      <c r="A92" s="436" t="inlineStr">
        <is>
          <t>Jamaica</t>
        </is>
      </c>
      <c r="B92" s="120" t="inlineStr">
        <is>
          <t>B1</t>
        </is>
      </c>
      <c r="C92" s="119" t="n">
        <v>0.04904110980246301</v>
      </c>
      <c r="D92" s="119">
        <f>$B$1+E92</f>
        <v/>
      </c>
      <c r="E92" s="119" t="n">
        <v>0.06583472718442829</v>
      </c>
      <c r="F92" s="119" t="n">
        <v>0.25</v>
      </c>
    </row>
    <row r="93" ht="16" customHeight="1">
      <c r="A93" s="436" t="inlineStr">
        <is>
          <t>Japan</t>
        </is>
      </c>
      <c r="B93" s="120" t="inlineStr">
        <is>
          <t>A1</t>
        </is>
      </c>
      <c r="C93" s="119" t="n">
        <v>0.007682680386808828</v>
      </c>
      <c r="D93" s="119">
        <f>$B$1+E93</f>
        <v/>
      </c>
      <c r="E93" s="119" t="n">
        <v>0.01031353428476683</v>
      </c>
      <c r="F93" s="119" t="n">
        <v>0.3062</v>
      </c>
    </row>
    <row r="94" ht="16" customHeight="1">
      <c r="A94" s="436" t="inlineStr">
        <is>
          <t>Jersey (States of)</t>
        </is>
      </c>
      <c r="B94" s="120" t="inlineStr">
        <is>
          <t>Aa3</t>
        </is>
      </c>
      <c r="C94" s="119" t="n">
        <v>0.006530278328787503</v>
      </c>
      <c r="D94" s="119">
        <f>$B$1+E94</f>
        <v/>
      </c>
      <c r="E94" s="119" t="n">
        <v>0.008766504142051809</v>
      </c>
      <c r="F94" s="119" t="n">
        <v>0</v>
      </c>
    </row>
    <row r="95" ht="16" customHeight="1">
      <c r="A95" s="436" t="inlineStr">
        <is>
          <t>Jordan</t>
        </is>
      </c>
      <c r="B95" s="120" t="inlineStr">
        <is>
          <t>B1</t>
        </is>
      </c>
      <c r="C95" s="119" t="n">
        <v>0.04904110980246301</v>
      </c>
      <c r="D95" s="119">
        <f>$B$1+E95</f>
        <v/>
      </c>
      <c r="E95" s="119" t="n">
        <v>0.06583472718442829</v>
      </c>
      <c r="F95" s="119" t="n">
        <v>0.2</v>
      </c>
    </row>
    <row r="96" ht="16" customHeight="1">
      <c r="A96" s="436" t="inlineStr">
        <is>
          <t>Kazakhstan</t>
        </is>
      </c>
      <c r="B96" s="120" t="inlineStr">
        <is>
          <t>Baa2</t>
        </is>
      </c>
      <c r="C96" s="119" t="n">
        <v>0.02074323704438383</v>
      </c>
      <c r="D96" s="119">
        <f>$B$1+E96</f>
        <v/>
      </c>
      <c r="E96" s="119" t="n">
        <v>0.02784654256887045</v>
      </c>
      <c r="F96" s="119" t="n">
        <v>0.2</v>
      </c>
    </row>
    <row r="97" ht="16" customHeight="1">
      <c r="A97" s="436" t="inlineStr">
        <is>
          <t>Kenya</t>
        </is>
      </c>
      <c r="B97" s="120" t="inlineStr">
        <is>
          <t>B3</t>
        </is>
      </c>
      <c r="C97" s="119" t="n">
        <v>0.07080870423175468</v>
      </c>
      <c r="D97" s="119">
        <f>$B$1+E97</f>
        <v/>
      </c>
      <c r="E97" s="119" t="n">
        <v>0.09505640765793431</v>
      </c>
      <c r="F97" s="119" t="n">
        <v>0.3</v>
      </c>
    </row>
    <row r="98" ht="16" customHeight="1">
      <c r="A98" s="437" t="inlineStr">
        <is>
          <t>Korea, D.P.R.</t>
        </is>
      </c>
      <c r="B98" s="120" t="inlineStr">
        <is>
          <t>NR</t>
        </is>
      </c>
      <c r="C98" s="119" t="n">
        <v>0.175</v>
      </c>
      <c r="D98" s="119">
        <f>$B$1+E98</f>
        <v/>
      </c>
      <c r="E98" s="119" t="n">
        <v>0.2349269277078294</v>
      </c>
      <c r="F98" s="119" t="n">
        <v>0.231</v>
      </c>
    </row>
    <row r="99" ht="16" customHeight="1">
      <c r="A99" s="436" t="inlineStr">
        <is>
          <t>Kuwait</t>
        </is>
      </c>
      <c r="B99" s="120" t="inlineStr">
        <is>
          <t>A1</t>
        </is>
      </c>
      <c r="C99" s="119" t="n">
        <v>0.007682680386808828</v>
      </c>
      <c r="D99" s="119">
        <f>$B$1+E99</f>
        <v/>
      </c>
      <c r="E99" s="119" t="n">
        <v>0.01031353428476683</v>
      </c>
      <c r="F99" s="119" t="n">
        <v>0.15</v>
      </c>
    </row>
    <row r="100" ht="16" customHeight="1">
      <c r="A100" s="436" t="inlineStr">
        <is>
          <t>Kyrgyzstan</t>
        </is>
      </c>
      <c r="B100" s="120" t="inlineStr">
        <is>
          <t>B3</t>
        </is>
      </c>
      <c r="C100" s="119" t="n">
        <v>0.07080870423175468</v>
      </c>
      <c r="D100" s="119">
        <f>$B$1+E100</f>
        <v/>
      </c>
      <c r="E100" s="119" t="n">
        <v>0.09505640765793431</v>
      </c>
      <c r="F100" s="119" t="n">
        <v>0.1</v>
      </c>
    </row>
    <row r="101" ht="16" customHeight="1">
      <c r="A101" s="436" t="inlineStr">
        <is>
          <t>Laos</t>
        </is>
      </c>
      <c r="B101" s="120" t="inlineStr">
        <is>
          <t>Caa3</t>
        </is>
      </c>
      <c r="C101" s="119" t="n">
        <v>0.1089660168195719</v>
      </c>
      <c r="D101" s="119">
        <f>$B$1+E101</f>
        <v/>
      </c>
      <c r="E101" s="119" t="n">
        <v>0.1462802946056097</v>
      </c>
      <c r="F101" s="119" t="n">
        <v>0.2686</v>
      </c>
    </row>
    <row r="102" ht="16" customHeight="1">
      <c r="A102" s="436" t="inlineStr">
        <is>
          <t>Latvia</t>
        </is>
      </c>
      <c r="B102" s="120" t="inlineStr">
        <is>
          <t>A3</t>
        </is>
      </c>
      <c r="C102" s="119" t="n">
        <v>0.01306055665757501</v>
      </c>
      <c r="D102" s="119">
        <f>$B$1+E102</f>
        <v/>
      </c>
      <c r="E102" s="119" t="n">
        <v>0.01753300828410362</v>
      </c>
      <c r="F102" s="119" t="n">
        <v>0.2</v>
      </c>
    </row>
    <row r="103" ht="16" customHeight="1">
      <c r="A103" s="436" t="inlineStr">
        <is>
          <t>Lebanon</t>
        </is>
      </c>
      <c r="B103" s="120" t="inlineStr">
        <is>
          <t>C</t>
        </is>
      </c>
      <c r="C103" s="119" t="n">
        <v>0.175</v>
      </c>
      <c r="D103" s="119">
        <f>$B$1+E103</f>
        <v/>
      </c>
      <c r="E103" s="119" t="n">
        <v>0.2349269277078294</v>
      </c>
      <c r="F103" s="119" t="n">
        <v>0.17</v>
      </c>
    </row>
    <row r="104" ht="16" customHeight="1">
      <c r="A104" s="438" t="inlineStr">
        <is>
          <t>Liberia</t>
        </is>
      </c>
      <c r="B104" s="120" t="inlineStr">
        <is>
          <t>NR</t>
        </is>
      </c>
      <c r="C104" s="119" t="n">
        <v>0.1307336112488635</v>
      </c>
      <c r="D104" s="119">
        <f>$B$1+E104</f>
        <v/>
      </c>
      <c r="E104" s="119" t="n">
        <v>0.1755019750791156</v>
      </c>
      <c r="F104" s="119" t="n">
        <v>0.2915</v>
      </c>
    </row>
    <row r="105" ht="16" customHeight="1">
      <c r="A105" s="437" t="inlineStr">
        <is>
          <t>Libya</t>
        </is>
      </c>
      <c r="B105" s="120" t="inlineStr">
        <is>
          <t>NR</t>
        </is>
      </c>
      <c r="C105" s="119" t="n">
        <v>0.02074323704438383</v>
      </c>
      <c r="D105" s="119">
        <f>$B$1+E105</f>
        <v/>
      </c>
      <c r="E105" s="119" t="n">
        <v>0.02784654256887045</v>
      </c>
      <c r="F105" s="119" t="n">
        <v>0.2</v>
      </c>
    </row>
    <row r="106" ht="16" customHeight="1">
      <c r="A106" s="436" t="inlineStr">
        <is>
          <t>Liechtenstein</t>
        </is>
      </c>
      <c r="B106" s="120" t="inlineStr">
        <is>
          <t>Aaa</t>
        </is>
      </c>
      <c r="C106" s="119" t="n">
        <v>0</v>
      </c>
      <c r="D106" s="119">
        <f>$B$1+E106</f>
        <v/>
      </c>
      <c r="E106" s="119" t="n">
        <v>0</v>
      </c>
      <c r="F106" s="119" t="n">
        <v>0.125</v>
      </c>
    </row>
    <row r="107" ht="16" customHeight="1">
      <c r="A107" s="436" t="inlineStr">
        <is>
          <t>Lithuania</t>
        </is>
      </c>
      <c r="B107" s="120" t="inlineStr">
        <is>
          <t>A2</t>
        </is>
      </c>
      <c r="C107" s="119" t="n">
        <v>0.009219216464170593</v>
      </c>
      <c r="D107" s="119">
        <f>$B$1+E107</f>
        <v/>
      </c>
      <c r="E107" s="119" t="n">
        <v>0.0123762411417202</v>
      </c>
      <c r="F107" s="119" t="n">
        <v>0.15</v>
      </c>
    </row>
    <row r="108" ht="16" customHeight="1">
      <c r="A108" s="436" t="inlineStr">
        <is>
          <t>Luxembourg</t>
        </is>
      </c>
      <c r="B108" s="120" t="inlineStr">
        <is>
          <t>Aaa</t>
        </is>
      </c>
      <c r="C108" s="119" t="n">
        <v>0</v>
      </c>
      <c r="D108" s="119">
        <f>$B$1+E108</f>
        <v/>
      </c>
      <c r="E108" s="119" t="n">
        <v>0</v>
      </c>
      <c r="F108" s="119" t="n">
        <v>0.2494</v>
      </c>
    </row>
    <row r="109" ht="16" customHeight="1">
      <c r="A109" s="436" t="inlineStr">
        <is>
          <t>Macau</t>
        </is>
      </c>
      <c r="B109" s="120" t="inlineStr">
        <is>
          <t>Aa3</t>
        </is>
      </c>
      <c r="C109" s="119" t="n">
        <v>0.006530278328787503</v>
      </c>
      <c r="D109" s="119">
        <f>$B$1+E109</f>
        <v/>
      </c>
      <c r="E109" s="119" t="n">
        <v>0.008766504142051809</v>
      </c>
      <c r="F109" s="119" t="n">
        <v>0.2686</v>
      </c>
    </row>
    <row r="110" ht="16" customHeight="1">
      <c r="A110" s="436" t="inlineStr">
        <is>
          <t>Macedonia</t>
        </is>
      </c>
      <c r="B110" s="120" t="inlineStr">
        <is>
          <t>Ba3</t>
        </is>
      </c>
      <c r="C110" s="119" t="n">
        <v>0.03918166997272502</v>
      </c>
      <c r="D110" s="119">
        <f>$B$1+E110</f>
        <v/>
      </c>
      <c r="E110" s="119" t="n">
        <v>0.05259902485231086</v>
      </c>
      <c r="F110" s="119" t="n">
        <v>0.1</v>
      </c>
    </row>
    <row r="111" ht="16" customHeight="1">
      <c r="A111" s="438" t="inlineStr">
        <is>
          <t>Madagascar</t>
        </is>
      </c>
      <c r="B111" s="120" t="inlineStr">
        <is>
          <t>NR</t>
        </is>
      </c>
      <c r="C111" s="119" t="n">
        <v>0.07080870423175468</v>
      </c>
      <c r="D111" s="119">
        <f>$B$1+E111</f>
        <v/>
      </c>
      <c r="E111" s="119" t="n">
        <v>0.09505640765793431</v>
      </c>
      <c r="F111" s="119" t="n">
        <v>0.2</v>
      </c>
    </row>
    <row r="112" ht="16" customHeight="1">
      <c r="A112" s="437" t="inlineStr">
        <is>
          <t>Malawi</t>
        </is>
      </c>
      <c r="B112" s="120" t="inlineStr">
        <is>
          <t>NR</t>
        </is>
      </c>
      <c r="C112" s="119" t="n">
        <v>0.1307336112488635</v>
      </c>
      <c r="D112" s="119">
        <f>$B$1+E112</f>
        <v/>
      </c>
      <c r="E112" s="119" t="n">
        <v>0.1755019750791156</v>
      </c>
      <c r="F112" s="119" t="n">
        <v>0.3</v>
      </c>
    </row>
    <row r="113" ht="16" customHeight="1">
      <c r="A113" s="436" t="inlineStr">
        <is>
          <t>Malaysia</t>
        </is>
      </c>
      <c r="B113" s="120" t="inlineStr">
        <is>
          <t>A3</t>
        </is>
      </c>
      <c r="C113" s="119" t="n">
        <v>0.01306055665757501</v>
      </c>
      <c r="D113" s="119">
        <f>$B$1+E113</f>
        <v/>
      </c>
      <c r="E113" s="119" t="n">
        <v>0.01753300828410362</v>
      </c>
      <c r="F113" s="119" t="n">
        <v>0.24</v>
      </c>
    </row>
    <row r="114" ht="16" customHeight="1">
      <c r="A114" s="436" t="inlineStr">
        <is>
          <t>Maldives</t>
        </is>
      </c>
      <c r="B114" s="120" t="inlineStr">
        <is>
          <t>Caa1</t>
        </is>
      </c>
      <c r="C114" s="119" t="n">
        <v>0.08169250144640053</v>
      </c>
      <c r="D114" s="119">
        <f>$B$1+E114</f>
        <v/>
      </c>
      <c r="E114" s="119" t="n">
        <v>0.1096672478946873</v>
      </c>
      <c r="F114" s="119" t="n">
        <v>0.2686</v>
      </c>
    </row>
    <row r="115" ht="16" customHeight="1">
      <c r="A115" s="436" t="inlineStr">
        <is>
          <t>Mali</t>
        </is>
      </c>
      <c r="B115" s="120" t="inlineStr">
        <is>
          <t>Caa2</t>
        </is>
      </c>
      <c r="C115" s="119" t="n">
        <v>0.09808221960492602</v>
      </c>
      <c r="D115" s="119">
        <f>$B$1+E115</f>
        <v/>
      </c>
      <c r="E115" s="119" t="n">
        <v>0.1316694543688566</v>
      </c>
      <c r="F115" s="119" t="n">
        <v>0.2686</v>
      </c>
    </row>
    <row r="116" ht="16" customHeight="1">
      <c r="A116" s="436" t="inlineStr">
        <is>
          <t>Malta</t>
        </is>
      </c>
      <c r="B116" s="120" t="inlineStr">
        <is>
          <t>A2</t>
        </is>
      </c>
      <c r="C116" s="119" t="n">
        <v>0.009219216464170593</v>
      </c>
      <c r="D116" s="119">
        <f>$B$1+E116</f>
        <v/>
      </c>
      <c r="E116" s="119" t="n">
        <v>0.0123762411417202</v>
      </c>
      <c r="F116" s="119" t="n">
        <v>0.35</v>
      </c>
    </row>
    <row r="117" ht="16" customHeight="1">
      <c r="A117" s="436" t="inlineStr">
        <is>
          <t>Martinique</t>
        </is>
      </c>
      <c r="B117" s="604" t="inlineStr">
        <is>
          <t>NR</t>
        </is>
      </c>
      <c r="C117" s="173">
        <f>J117</f>
        <v/>
      </c>
      <c r="D117" s="119">
        <f>$B$1+E117</f>
        <v/>
      </c>
      <c r="E117" s="173">
        <f>H117</f>
        <v/>
      </c>
      <c r="F117" s="173">
        <f>K117</f>
        <v/>
      </c>
    </row>
    <row r="118" ht="16" customHeight="1">
      <c r="A118" s="436" t="inlineStr">
        <is>
          <t>Mauritius</t>
        </is>
      </c>
      <c r="B118" s="120" t="inlineStr">
        <is>
          <t>Baa3</t>
        </is>
      </c>
      <c r="C118" s="119" t="n">
        <v>0.02394435387222085</v>
      </c>
      <c r="D118" s="119">
        <f>$B$1+E118</f>
        <v/>
      </c>
      <c r="E118" s="119" t="n">
        <v>0.03214384852085662</v>
      </c>
      <c r="F118" s="119" t="n">
        <v>0.15</v>
      </c>
    </row>
    <row r="119" ht="16" customHeight="1">
      <c r="A119" s="436" t="inlineStr">
        <is>
          <t>Mexico</t>
        </is>
      </c>
      <c r="B119" s="120" t="inlineStr">
        <is>
          <t>Baa2</t>
        </is>
      </c>
      <c r="C119" s="119" t="n">
        <v>0.02074323704438383</v>
      </c>
      <c r="D119" s="119">
        <f>$B$1+E119</f>
        <v/>
      </c>
      <c r="E119" s="119" t="n">
        <v>0.02784654256887045</v>
      </c>
      <c r="F119" s="119" t="n">
        <v>0.3</v>
      </c>
    </row>
    <row r="120" ht="16" customHeight="1">
      <c r="A120" s="436" t="inlineStr">
        <is>
          <t>Monaco</t>
        </is>
      </c>
      <c r="B120" s="604" t="inlineStr">
        <is>
          <t>NR</t>
        </is>
      </c>
      <c r="C120" s="173" t="n">
        <v>0.009588220147283357</v>
      </c>
      <c r="D120" s="119">
        <f>$B$1+E120</f>
        <v/>
      </c>
      <c r="E120" s="173" t="n">
        <v>0.05887160629364337</v>
      </c>
      <c r="F120" s="173" t="n">
        <v>0.2470734954341358</v>
      </c>
    </row>
    <row r="121" ht="16" customHeight="1">
      <c r="A121" s="436" t="inlineStr">
        <is>
          <t>Moldova</t>
        </is>
      </c>
      <c r="B121" s="120" t="inlineStr">
        <is>
          <t>B3</t>
        </is>
      </c>
      <c r="C121" s="119" t="n">
        <v>0.07080870423175468</v>
      </c>
      <c r="D121" s="119">
        <f>$B$1+E121</f>
        <v/>
      </c>
      <c r="E121" s="119" t="n">
        <v>0.09505640765793431</v>
      </c>
      <c r="F121" s="119" t="n">
        <v>0.12</v>
      </c>
    </row>
    <row r="122" ht="16" customHeight="1">
      <c r="A122" s="436" t="inlineStr">
        <is>
          <t>Mongolia</t>
        </is>
      </c>
      <c r="B122" s="120" t="inlineStr">
        <is>
          <t>B3</t>
        </is>
      </c>
      <c r="C122" s="119" t="n">
        <v>0.07080870423175468</v>
      </c>
      <c r="D122" s="119">
        <f>$B$1+E122</f>
        <v/>
      </c>
      <c r="E122" s="119" t="n">
        <v>0.09505640765793431</v>
      </c>
      <c r="F122" s="119" t="n">
        <v>0.25</v>
      </c>
    </row>
    <row r="123" ht="16" customHeight="1">
      <c r="A123" s="436" t="inlineStr">
        <is>
          <t>Montenegro</t>
        </is>
      </c>
      <c r="B123" s="120" t="inlineStr">
        <is>
          <t>B1</t>
        </is>
      </c>
      <c r="C123" s="119" t="n">
        <v>0.04904110980246301</v>
      </c>
      <c r="D123" s="119">
        <f>$B$1+E123</f>
        <v/>
      </c>
      <c r="E123" s="119" t="n">
        <v>0.06583472718442829</v>
      </c>
      <c r="F123" s="119" t="n">
        <v>0.15</v>
      </c>
    </row>
    <row r="124" ht="16" customHeight="1">
      <c r="A124" s="436" t="inlineStr">
        <is>
          <t>Montserrat</t>
        </is>
      </c>
      <c r="B124" s="120" t="inlineStr">
        <is>
          <t>Baa3</t>
        </is>
      </c>
      <c r="C124" s="119" t="n">
        <v>0.02394435387222085</v>
      </c>
      <c r="D124" s="119">
        <f>$B$1+E124</f>
        <v/>
      </c>
      <c r="E124" s="119" t="n">
        <v>0.03214384852085662</v>
      </c>
      <c r="F124" s="119" t="n">
        <v>0.2853</v>
      </c>
    </row>
    <row r="125" ht="16" customHeight="1">
      <c r="A125" s="436" t="inlineStr">
        <is>
          <t>Morocco</t>
        </is>
      </c>
      <c r="B125" s="120" t="inlineStr">
        <is>
          <t>Ba1</t>
        </is>
      </c>
      <c r="C125" s="119" t="n">
        <v>0.02727351537317134</v>
      </c>
      <c r="D125" s="119">
        <f>$B$1+E125</f>
        <v/>
      </c>
      <c r="E125" s="119" t="n">
        <v>0.03661304671092226</v>
      </c>
      <c r="F125" s="119" t="n">
        <v>0.32</v>
      </c>
    </row>
    <row r="126" ht="16" customHeight="1">
      <c r="A126" s="436" t="inlineStr">
        <is>
          <t>Mozambique</t>
        </is>
      </c>
      <c r="B126" s="120" t="inlineStr">
        <is>
          <t>Caa2</t>
        </is>
      </c>
      <c r="C126" s="119" t="n">
        <v>0.09808221960492602</v>
      </c>
      <c r="D126" s="119">
        <f>$B$1+E126</f>
        <v/>
      </c>
      <c r="E126" s="119" t="n">
        <v>0.1316694543688566</v>
      </c>
      <c r="F126" s="119" t="n">
        <v>0.32</v>
      </c>
    </row>
    <row r="127" ht="16" customHeight="1">
      <c r="A127" s="438" t="inlineStr">
        <is>
          <t>Myanmar</t>
        </is>
      </c>
      <c r="B127" s="120" t="inlineStr">
        <is>
          <t>NR</t>
        </is>
      </c>
      <c r="C127" s="119" t="n">
        <v>0.1089660168195719</v>
      </c>
      <c r="D127" s="119">
        <f>$B$1+E127</f>
        <v/>
      </c>
      <c r="E127" s="119" t="n">
        <v>0.1462802946056097</v>
      </c>
      <c r="F127" s="119" t="n">
        <v>0.25</v>
      </c>
    </row>
    <row r="128" ht="16" customHeight="1">
      <c r="A128" s="436" t="inlineStr">
        <is>
          <t>Namibia</t>
        </is>
      </c>
      <c r="B128" s="120" t="inlineStr">
        <is>
          <t>B1</t>
        </is>
      </c>
      <c r="C128" s="119" t="n">
        <v>0.04904110980246301</v>
      </c>
      <c r="D128" s="119">
        <f>$B$1+E128</f>
        <v/>
      </c>
      <c r="E128" s="119" t="n">
        <v>0.06583472718442829</v>
      </c>
      <c r="F128" s="119" t="n">
        <v>0.32</v>
      </c>
    </row>
    <row r="129" ht="16" customHeight="1">
      <c r="A129" s="436" t="inlineStr">
        <is>
          <t>Netherlands</t>
        </is>
      </c>
      <c r="B129" s="120" t="inlineStr">
        <is>
          <t>Aaa</t>
        </is>
      </c>
      <c r="C129" s="119" t="n">
        <v>0</v>
      </c>
      <c r="D129" s="119">
        <f>$B$1+E129</f>
        <v/>
      </c>
      <c r="E129" s="119" t="n">
        <v>0</v>
      </c>
      <c r="F129" s="119" t="n">
        <v>0.258</v>
      </c>
    </row>
    <row r="130" ht="16" customHeight="1">
      <c r="A130" s="436" t="inlineStr">
        <is>
          <t>Netherlands Antilles</t>
        </is>
      </c>
      <c r="B130" s="604" t="inlineStr">
        <is>
          <t>NR</t>
        </is>
      </c>
      <c r="C130" s="173" t="n">
        <v>0.1054310997313879</v>
      </c>
      <c r="D130" s="119">
        <f>$B$1+E130</f>
        <v/>
      </c>
      <c r="E130" s="173" t="n">
        <v>0.1875348819700155</v>
      </c>
      <c r="F130" s="173" t="n">
        <v>0.2724561140242252</v>
      </c>
    </row>
    <row r="131" ht="16" customHeight="1">
      <c r="A131" s="436" t="inlineStr">
        <is>
          <t>New Zealand</t>
        </is>
      </c>
      <c r="B131" s="120" t="inlineStr">
        <is>
          <t>Aaa</t>
        </is>
      </c>
      <c r="C131" s="119" t="n">
        <v>0</v>
      </c>
      <c r="D131" s="119">
        <f>$B$1+E131</f>
        <v/>
      </c>
      <c r="E131" s="119" t="n">
        <v>0</v>
      </c>
      <c r="F131" s="119" t="n">
        <v>0.28</v>
      </c>
    </row>
    <row r="132" ht="16" customHeight="1">
      <c r="A132" s="436" t="inlineStr">
        <is>
          <t>Nicaragua</t>
        </is>
      </c>
      <c r="B132" s="120" t="inlineStr">
        <is>
          <t>B3</t>
        </is>
      </c>
      <c r="C132" s="119" t="n">
        <v>0.07080870423175468</v>
      </c>
      <c r="D132" s="119">
        <f>$B$1+E132</f>
        <v/>
      </c>
      <c r="E132" s="119" t="n">
        <v>0.09505640765793431</v>
      </c>
      <c r="F132" s="119" t="n">
        <v>0.3</v>
      </c>
    </row>
    <row r="133" ht="16" customHeight="1">
      <c r="A133" s="436" t="inlineStr">
        <is>
          <t>Niger</t>
        </is>
      </c>
      <c r="B133" s="120" t="inlineStr">
        <is>
          <t>Caa2</t>
        </is>
      </c>
      <c r="C133" s="119" t="n">
        <v>0.09808221960492602</v>
      </c>
      <c r="D133" s="119">
        <f>$B$1+E133</f>
        <v/>
      </c>
      <c r="E133" s="119" t="n">
        <v>0.1316694543688566</v>
      </c>
      <c r="F133" s="119" t="n">
        <v>0.2686</v>
      </c>
    </row>
    <row r="134" ht="16" customHeight="1">
      <c r="A134" s="436" t="inlineStr">
        <is>
          <t>Nigeria</t>
        </is>
      </c>
      <c r="B134" s="120" t="inlineStr">
        <is>
          <t>Caa1</t>
        </is>
      </c>
      <c r="C134" s="119" t="n">
        <v>0.08169250144640053</v>
      </c>
      <c r="D134" s="119">
        <f>$B$1+E134</f>
        <v/>
      </c>
      <c r="E134" s="119" t="n">
        <v>0.1096672478946873</v>
      </c>
      <c r="F134" s="119" t="n">
        <v>0.3</v>
      </c>
    </row>
    <row r="135" ht="16" customHeight="1">
      <c r="A135" s="436" t="inlineStr">
        <is>
          <t>Norway</t>
        </is>
      </c>
      <c r="B135" s="120" t="inlineStr">
        <is>
          <t>Aaa</t>
        </is>
      </c>
      <c r="C135" s="119" t="n">
        <v>0</v>
      </c>
      <c r="D135" s="119">
        <f>$B$1+E135</f>
        <v/>
      </c>
      <c r="E135" s="119" t="n">
        <v>0</v>
      </c>
      <c r="F135" s="119" t="n">
        <v>0.22</v>
      </c>
    </row>
    <row r="136" ht="16" customHeight="1">
      <c r="A136" s="436" t="inlineStr">
        <is>
          <t>Oman</t>
        </is>
      </c>
      <c r="B136" s="120" t="inlineStr">
        <is>
          <t>Ba1</t>
        </is>
      </c>
      <c r="C136" s="119" t="n">
        <v>0.02727351537317134</v>
      </c>
      <c r="D136" s="119">
        <f>$B$1+E136</f>
        <v/>
      </c>
      <c r="E136" s="119" t="n">
        <v>0.03661304671092226</v>
      </c>
      <c r="F136" s="119" t="n">
        <v>0.15</v>
      </c>
    </row>
    <row r="137" ht="16" customHeight="1">
      <c r="A137" s="436" t="inlineStr">
        <is>
          <t>Pakistan</t>
        </is>
      </c>
      <c r="B137" s="120" t="inlineStr">
        <is>
          <t>Caa3</t>
        </is>
      </c>
      <c r="C137" s="119" t="n">
        <v>0.1089660168195719</v>
      </c>
      <c r="D137" s="119">
        <f>$B$1+E137</f>
        <v/>
      </c>
      <c r="E137" s="119" t="n">
        <v>0.1462802946056097</v>
      </c>
      <c r="F137" s="119" t="n">
        <v>0.29</v>
      </c>
    </row>
    <row r="138" ht="16" customHeight="1">
      <c r="A138" s="436" t="inlineStr">
        <is>
          <t>Palestinian Authority</t>
        </is>
      </c>
      <c r="B138" s="604" t="inlineStr">
        <is>
          <t>NR</t>
        </is>
      </c>
      <c r="C138" s="173" t="n">
        <v>0.01608265362787447</v>
      </c>
      <c r="D138" s="119">
        <f>$B$1+E138</f>
        <v/>
      </c>
      <c r="E138" s="173" t="n">
        <v>0.06758999089248985</v>
      </c>
      <c r="F138" s="173" t="n">
        <v>0.1876015215361524</v>
      </c>
    </row>
    <row r="139" ht="16" customHeight="1">
      <c r="A139" s="436" t="inlineStr">
        <is>
          <t>Panama</t>
        </is>
      </c>
      <c r="B139" s="120" t="inlineStr">
        <is>
          <t>Baa2</t>
        </is>
      </c>
      <c r="C139" s="119" t="n">
        <v>0.02074323704438383</v>
      </c>
      <c r="D139" s="119">
        <f>$B$1+E139</f>
        <v/>
      </c>
      <c r="E139" s="119" t="n">
        <v>0.02784654256887045</v>
      </c>
      <c r="F139" s="119" t="n">
        <v>0.25</v>
      </c>
    </row>
    <row r="140" ht="16" customHeight="1">
      <c r="A140" s="436" t="inlineStr">
        <is>
          <t>Papua New Guinea</t>
        </is>
      </c>
      <c r="B140" s="120" t="inlineStr">
        <is>
          <t>B2</t>
        </is>
      </c>
      <c r="C140" s="119" t="n">
        <v>0.05992490701710886</v>
      </c>
      <c r="D140" s="119">
        <f>$B$1+E140</f>
        <v/>
      </c>
      <c r="E140" s="119" t="n">
        <v>0.08044556742118129</v>
      </c>
      <c r="F140" s="119" t="n">
        <v>0.3</v>
      </c>
    </row>
    <row r="141" ht="16" customHeight="1">
      <c r="A141" s="436" t="inlineStr">
        <is>
          <t>Paraguay</t>
        </is>
      </c>
      <c r="B141" s="120" t="inlineStr">
        <is>
          <t>Ba1</t>
        </is>
      </c>
      <c r="C141" s="119" t="n">
        <v>0.02727351537317134</v>
      </c>
      <c r="D141" s="119">
        <f>$B$1+E141</f>
        <v/>
      </c>
      <c r="E141" s="119" t="n">
        <v>0.03661304671092226</v>
      </c>
      <c r="F141" s="119" t="n">
        <v>0.1</v>
      </c>
    </row>
    <row r="142" ht="16" customHeight="1">
      <c r="A142" s="436" t="inlineStr">
        <is>
          <t>Peru</t>
        </is>
      </c>
      <c r="B142" s="120" t="inlineStr">
        <is>
          <t>Baa1</t>
        </is>
      </c>
      <c r="C142" s="119" t="n">
        <v>0.01741407554343334</v>
      </c>
      <c r="D142" s="119">
        <f>$B$1+E142</f>
        <v/>
      </c>
      <c r="E142" s="119" t="n">
        <v>0.02337734437880483</v>
      </c>
      <c r="F142" s="119" t="n">
        <v>0.295</v>
      </c>
    </row>
    <row r="143" ht="16" customHeight="1">
      <c r="A143" s="436" t="inlineStr">
        <is>
          <t>Philippines</t>
        </is>
      </c>
      <c r="B143" s="120" t="inlineStr">
        <is>
          <t>Baa2</t>
        </is>
      </c>
      <c r="C143" s="119" t="n">
        <v>0.02074323704438383</v>
      </c>
      <c r="D143" s="119">
        <f>$B$1+E143</f>
        <v/>
      </c>
      <c r="E143" s="119" t="n">
        <v>0.02784654256887045</v>
      </c>
      <c r="F143" s="119" t="n">
        <v>0.25</v>
      </c>
    </row>
    <row r="144" ht="16" customHeight="1">
      <c r="A144" s="436" t="inlineStr">
        <is>
          <t>Poland</t>
        </is>
      </c>
      <c r="B144" s="120" t="inlineStr">
        <is>
          <t>A2</t>
        </is>
      </c>
      <c r="C144" s="119" t="n">
        <v>0.009219216464170593</v>
      </c>
      <c r="D144" s="119">
        <f>$B$1+E144</f>
        <v/>
      </c>
      <c r="E144" s="119" t="n">
        <v>0.0123762411417202</v>
      </c>
      <c r="F144" s="119" t="n">
        <v>0.19</v>
      </c>
    </row>
    <row r="145" ht="16" customHeight="1">
      <c r="A145" s="436" t="inlineStr">
        <is>
          <t>Portugal</t>
        </is>
      </c>
      <c r="B145" s="120" t="inlineStr">
        <is>
          <t>A3</t>
        </is>
      </c>
      <c r="C145" s="119" t="n">
        <v>0.01306055665757501</v>
      </c>
      <c r="D145" s="119">
        <f>$B$1+E145</f>
        <v/>
      </c>
      <c r="E145" s="119" t="n">
        <v>0.01753300828410362</v>
      </c>
      <c r="F145" s="119" t="n">
        <v>0.21</v>
      </c>
    </row>
    <row r="146" ht="16" customHeight="1">
      <c r="A146" s="436" t="inlineStr">
        <is>
          <t>Qatar</t>
        </is>
      </c>
      <c r="B146" s="120" t="inlineStr">
        <is>
          <t>Aa3</t>
        </is>
      </c>
      <c r="C146" s="119" t="n">
        <v>0.006530278328787503</v>
      </c>
      <c r="D146" s="119">
        <f>$B$1+E146</f>
        <v/>
      </c>
      <c r="E146" s="119" t="n">
        <v>0.008766504142051809</v>
      </c>
      <c r="F146" s="119" t="n">
        <v>0.1</v>
      </c>
    </row>
    <row r="147" ht="16" customHeight="1">
      <c r="A147" s="436" t="inlineStr">
        <is>
          <t>Ras Al Khaimah (Emirate of)</t>
        </is>
      </c>
      <c r="B147" s="120" t="inlineStr">
        <is>
          <t>A3</t>
        </is>
      </c>
      <c r="C147" s="119" t="n">
        <v>0.01306055665757501</v>
      </c>
      <c r="D147" s="119">
        <f>$B$1+E147</f>
        <v/>
      </c>
      <c r="E147" s="119" t="n">
        <v>0.01753300828410362</v>
      </c>
      <c r="F147" s="119" t="n">
        <v>0</v>
      </c>
    </row>
    <row r="148" ht="16" customHeight="1">
      <c r="A148" s="436" t="inlineStr">
        <is>
          <t>Reunion</t>
        </is>
      </c>
      <c r="B148" s="604" t="inlineStr">
        <is>
          <t>NR</t>
        </is>
      </c>
      <c r="C148" s="173" t="n">
        <v>0.01251855589819318</v>
      </c>
      <c r="D148" s="119">
        <f>$B$1+E148</f>
        <v/>
      </c>
      <c r="E148" s="173" t="n">
        <v>0.06280540500857855</v>
      </c>
      <c r="F148" s="173" t="n">
        <v>0.2576437502455447</v>
      </c>
    </row>
    <row r="149" ht="16" customHeight="1">
      <c r="A149" s="436" t="inlineStr">
        <is>
          <t>Romania</t>
        </is>
      </c>
      <c r="B149" s="120" t="inlineStr">
        <is>
          <t>Baa3</t>
        </is>
      </c>
      <c r="C149" s="119" t="n">
        <v>0.02394435387222085</v>
      </c>
      <c r="D149" s="119">
        <f>$B$1+E149</f>
        <v/>
      </c>
      <c r="E149" s="119" t="n">
        <v>0.03214384852085662</v>
      </c>
      <c r="F149" s="119" t="n">
        <v>0.16</v>
      </c>
    </row>
    <row r="150" ht="16" customHeight="1">
      <c r="A150" s="436" t="inlineStr">
        <is>
          <t>Russia</t>
        </is>
      </c>
      <c r="B150" s="120" t="inlineStr">
        <is>
          <t>NR</t>
        </is>
      </c>
      <c r="C150" s="119" t="n">
        <v>0.04904110980246301</v>
      </c>
      <c r="D150" s="119">
        <f>$B$1+E150</f>
        <v/>
      </c>
      <c r="E150" s="119" t="n">
        <v>0.06583472718442829</v>
      </c>
      <c r="F150" s="119" t="n">
        <v>0.25</v>
      </c>
    </row>
    <row r="151" ht="16" customHeight="1">
      <c r="A151" s="436" t="inlineStr">
        <is>
          <t>Rwanda</t>
        </is>
      </c>
      <c r="B151" s="120" t="inlineStr">
        <is>
          <t>B2</t>
        </is>
      </c>
      <c r="C151" s="119" t="n">
        <v>0.05992490701710886</v>
      </c>
      <c r="D151" s="119">
        <f>$B$1+E151</f>
        <v/>
      </c>
      <c r="E151" s="119" t="n">
        <v>0.08044556742118129</v>
      </c>
      <c r="F151" s="119" t="n">
        <v>0.3</v>
      </c>
    </row>
    <row r="152" ht="16" customHeight="1">
      <c r="A152" s="436" t="inlineStr">
        <is>
          <t>Saint Lucia</t>
        </is>
      </c>
      <c r="B152" s="604" t="inlineStr">
        <is>
          <t>NR</t>
        </is>
      </c>
      <c r="C152" s="173" t="n">
        <v>0.1054310997313879</v>
      </c>
      <c r="D152" s="119">
        <f>$B$1+E152</f>
        <v/>
      </c>
      <c r="E152" s="173" t="n">
        <v>0.1875348819700155</v>
      </c>
      <c r="F152" s="173" t="n">
        <v>0.2724561140242252</v>
      </c>
    </row>
    <row r="153" ht="16" customHeight="1">
      <c r="A153" s="436" t="inlineStr">
        <is>
          <t>Saudi Arabia</t>
        </is>
      </c>
      <c r="B153" s="120" t="inlineStr">
        <is>
          <t>A1</t>
        </is>
      </c>
      <c r="C153" s="119" t="n">
        <v>0.007682680386808828</v>
      </c>
      <c r="D153" s="119">
        <f>$B$1+E153</f>
        <v/>
      </c>
      <c r="E153" s="119" t="n">
        <v>0.01031353428476683</v>
      </c>
      <c r="F153" s="119" t="n">
        <v>0.2</v>
      </c>
    </row>
    <row r="154" ht="16" customHeight="1">
      <c r="A154" s="436" t="inlineStr">
        <is>
          <t>Senegal</t>
        </is>
      </c>
      <c r="B154" s="120" t="inlineStr">
        <is>
          <t>Ba3</t>
        </is>
      </c>
      <c r="C154" s="119" t="n">
        <v>0.03918166997272502</v>
      </c>
      <c r="D154" s="119">
        <f>$B$1+E154</f>
        <v/>
      </c>
      <c r="E154" s="119" t="n">
        <v>0.05259902485231086</v>
      </c>
      <c r="F154" s="119" t="n">
        <v>0.3</v>
      </c>
    </row>
    <row r="155" ht="16" customHeight="1">
      <c r="A155" s="436" t="inlineStr">
        <is>
          <t>Serbia</t>
        </is>
      </c>
      <c r="B155" s="120" t="inlineStr">
        <is>
          <t>Ba2</t>
        </is>
      </c>
      <c r="C155" s="119" t="n">
        <v>0.032779436317051</v>
      </c>
      <c r="D155" s="119">
        <f>$B$1+E155</f>
        <v/>
      </c>
      <c r="E155" s="119" t="n">
        <v>0.0440044129483385</v>
      </c>
      <c r="F155" s="119" t="n">
        <v>0.15</v>
      </c>
    </row>
    <row r="156" ht="16" customHeight="1">
      <c r="A156" s="436" t="inlineStr">
        <is>
          <t>Sharjah</t>
        </is>
      </c>
      <c r="B156" s="120" t="inlineStr">
        <is>
          <t>Ba1</t>
        </is>
      </c>
      <c r="C156" s="119" t="n">
        <v>0.02727351537317134</v>
      </c>
      <c r="D156" s="119">
        <f>$B$1+E156</f>
        <v/>
      </c>
      <c r="E156" s="119" t="n">
        <v>0.03661304671092226</v>
      </c>
      <c r="F156" s="119" t="n">
        <v>0</v>
      </c>
    </row>
    <row r="157" ht="16" customHeight="1">
      <c r="A157" s="437" t="inlineStr">
        <is>
          <t>Sierra Leone</t>
        </is>
      </c>
      <c r="B157" s="120" t="inlineStr">
        <is>
          <t>NR</t>
        </is>
      </c>
      <c r="C157" s="119" t="n">
        <v>0.1089660168195719</v>
      </c>
      <c r="D157" s="119">
        <f>$B$1+E157</f>
        <v/>
      </c>
      <c r="E157" s="119" t="n">
        <v>0.1462802946056097</v>
      </c>
      <c r="F157" s="119" t="n">
        <v>0.3</v>
      </c>
    </row>
    <row r="158" ht="16" customHeight="1">
      <c r="A158" s="436" t="inlineStr">
        <is>
          <t>Singapore</t>
        </is>
      </c>
      <c r="B158" s="120" t="inlineStr">
        <is>
          <t>Aaa</t>
        </is>
      </c>
      <c r="C158" s="119" t="n">
        <v>0</v>
      </c>
      <c r="D158" s="119">
        <f>$B$1+E158</f>
        <v/>
      </c>
      <c r="E158" s="119" t="n">
        <v>0</v>
      </c>
      <c r="F158" s="119" t="n">
        <v>0.17</v>
      </c>
    </row>
    <row r="159" ht="16" customHeight="1">
      <c r="A159" s="436" t="inlineStr">
        <is>
          <t>Slovakia</t>
        </is>
      </c>
      <c r="B159" s="120" t="inlineStr">
        <is>
          <t>A2</t>
        </is>
      </c>
      <c r="C159" s="119" t="n">
        <v>0.009219216464170593</v>
      </c>
      <c r="D159" s="119">
        <f>$B$1+E159</f>
        <v/>
      </c>
      <c r="E159" s="119" t="n">
        <v>0.0123762411417202</v>
      </c>
      <c r="F159" s="119" t="n">
        <v>0.21</v>
      </c>
    </row>
    <row r="160" ht="16" customHeight="1">
      <c r="A160" s="436" t="inlineStr">
        <is>
          <t>Slovenia</t>
        </is>
      </c>
      <c r="B160" s="120" t="inlineStr">
        <is>
          <t>A3</t>
        </is>
      </c>
      <c r="C160" s="119" t="n">
        <v>0.01306055665757501</v>
      </c>
      <c r="D160" s="119">
        <f>$B$1+E160</f>
        <v/>
      </c>
      <c r="E160" s="119" t="n">
        <v>0.01753300828410362</v>
      </c>
      <c r="F160" s="119" t="n">
        <v>0.19</v>
      </c>
    </row>
    <row r="161" ht="16" customHeight="1">
      <c r="A161" s="436" t="inlineStr">
        <is>
          <t>Solomon Islands</t>
        </is>
      </c>
      <c r="B161" s="120" t="inlineStr">
        <is>
          <t>Caa1</t>
        </is>
      </c>
      <c r="C161" s="119" t="n">
        <v>0.08169250144640053</v>
      </c>
      <c r="D161" s="119">
        <f>$B$1+E161</f>
        <v/>
      </c>
      <c r="E161" s="119" t="n">
        <v>0.1096672478946873</v>
      </c>
      <c r="F161" s="119" t="n">
        <v>0.3</v>
      </c>
    </row>
    <row r="162" ht="16" customHeight="1">
      <c r="A162" s="438" t="inlineStr">
        <is>
          <t>Somalia</t>
        </is>
      </c>
      <c r="B162" s="120" t="inlineStr">
        <is>
          <t>NR</t>
        </is>
      </c>
      <c r="C162" s="119" t="n">
        <v>0.1307336112488635</v>
      </c>
      <c r="D162" s="119">
        <f>$B$1+E162</f>
        <v/>
      </c>
      <c r="E162" s="119" t="n">
        <v>0.1755019750791156</v>
      </c>
      <c r="F162" s="119" t="n">
        <v>0.2915</v>
      </c>
    </row>
    <row r="163" ht="16" customHeight="1">
      <c r="A163" s="436" t="inlineStr">
        <is>
          <t>South Africa</t>
        </is>
      </c>
      <c r="B163" s="120" t="inlineStr">
        <is>
          <t>Ba2</t>
        </is>
      </c>
      <c r="C163" s="119" t="n">
        <v>0.032779436317051</v>
      </c>
      <c r="D163" s="119">
        <f>$B$1+E163</f>
        <v/>
      </c>
      <c r="E163" s="119" t="n">
        <v>0.0440044129483385</v>
      </c>
      <c r="F163" s="119" t="n">
        <v>0.27</v>
      </c>
    </row>
    <row r="164" ht="16" customHeight="1">
      <c r="A164" s="436" t="inlineStr">
        <is>
          <t>South Korea</t>
        </is>
      </c>
      <c r="B164" s="120" t="inlineStr">
        <is>
          <t>Aa2</t>
        </is>
      </c>
      <c r="C164" s="119" t="n">
        <v>0.005377876270766179</v>
      </c>
      <c r="D164" s="119">
        <f>$B$1+E164</f>
        <v/>
      </c>
      <c r="E164" s="119" t="n">
        <v>0.007219473999336784</v>
      </c>
      <c r="F164" s="119" t="n">
        <v>0.25</v>
      </c>
    </row>
    <row r="165" ht="16" customHeight="1">
      <c r="A165" s="436" t="inlineStr">
        <is>
          <t>Spain</t>
        </is>
      </c>
      <c r="B165" s="120" t="inlineStr">
        <is>
          <t>Baa1</t>
        </is>
      </c>
      <c r="C165" s="119" t="n">
        <v>0.01741407554343334</v>
      </c>
      <c r="D165" s="119">
        <f>$B$1+E165</f>
        <v/>
      </c>
      <c r="E165" s="119" t="n">
        <v>0.02337734437880483</v>
      </c>
      <c r="F165" s="119" t="n">
        <v>0.25</v>
      </c>
    </row>
    <row r="166" ht="16" customHeight="1">
      <c r="A166" s="436" t="inlineStr">
        <is>
          <t>Sri Lanka</t>
        </is>
      </c>
      <c r="B166" s="120" t="inlineStr">
        <is>
          <t>Ca</t>
        </is>
      </c>
      <c r="C166" s="119" t="n">
        <v>0.1307336112488635</v>
      </c>
      <c r="D166" s="119">
        <f>$B$1+E166</f>
        <v/>
      </c>
      <c r="E166" s="119" t="n">
        <v>0.1755019750791156</v>
      </c>
      <c r="F166" s="119" t="n">
        <v>0.24</v>
      </c>
    </row>
    <row r="167" ht="16" customHeight="1">
      <c r="A167" s="436" t="inlineStr">
        <is>
          <t>St. Maarten</t>
        </is>
      </c>
      <c r="B167" s="120" t="inlineStr">
        <is>
          <t>Ba2</t>
        </is>
      </c>
      <c r="C167" s="119" t="n">
        <v>0.032779436317051</v>
      </c>
      <c r="D167" s="119">
        <f>$B$1+E167</f>
        <v/>
      </c>
      <c r="E167" s="119" t="n">
        <v>0.0440044129483385</v>
      </c>
      <c r="F167" s="119" t="n">
        <v>0.2853</v>
      </c>
    </row>
    <row r="168" ht="16" customHeight="1">
      <c r="A168" s="436" t="inlineStr">
        <is>
          <t>St. Vincent &amp; the Grenadines</t>
        </is>
      </c>
      <c r="B168" s="120" t="inlineStr">
        <is>
          <t>B3</t>
        </is>
      </c>
      <c r="C168" s="119" t="n">
        <v>0.07080870423175468</v>
      </c>
      <c r="D168" s="119">
        <f>$B$1+E168</f>
        <v/>
      </c>
      <c r="E168" s="119" t="n">
        <v>0.09505640765793431</v>
      </c>
      <c r="F168" s="119" t="n">
        <v>0.2853</v>
      </c>
    </row>
    <row r="169" ht="16" customHeight="1">
      <c r="A169" s="437" t="inlineStr">
        <is>
          <t>Sudan</t>
        </is>
      </c>
      <c r="B169" s="120" t="inlineStr">
        <is>
          <t>NR</t>
        </is>
      </c>
      <c r="C169" s="119" t="n">
        <v>0.175</v>
      </c>
      <c r="D169" s="119">
        <f>$B$1+E169</f>
        <v/>
      </c>
      <c r="E169" s="119" t="n">
        <v>0.2349269277078294</v>
      </c>
      <c r="F169" s="119" t="n">
        <v>0.35</v>
      </c>
    </row>
    <row r="170" ht="16" customHeight="1">
      <c r="A170" s="436" t="inlineStr">
        <is>
          <t>Suriname</t>
        </is>
      </c>
      <c r="B170" s="120" t="inlineStr">
        <is>
          <t>Caa3</t>
        </is>
      </c>
      <c r="C170" s="119" t="n">
        <v>0.1089660168195719</v>
      </c>
      <c r="D170" s="119">
        <f>$B$1+E170</f>
        <v/>
      </c>
      <c r="E170" s="119" t="n">
        <v>0.1462802946056097</v>
      </c>
      <c r="F170" s="119" t="n">
        <v>0.36</v>
      </c>
    </row>
    <row r="171" ht="16" customHeight="1">
      <c r="A171" s="436" t="inlineStr">
        <is>
          <t>Swaziland</t>
        </is>
      </c>
      <c r="B171" s="120" t="inlineStr">
        <is>
          <t>B3</t>
        </is>
      </c>
      <c r="C171" s="119" t="n">
        <v>0.07080870423175468</v>
      </c>
      <c r="D171" s="119">
        <f>$B$1+E171</f>
        <v/>
      </c>
      <c r="E171" s="119" t="n">
        <v>0.09505640765793431</v>
      </c>
      <c r="F171" s="119" t="n">
        <v>0.275</v>
      </c>
    </row>
    <row r="172" ht="16" customHeight="1">
      <c r="A172" s="436" t="inlineStr">
        <is>
          <t>Sweden</t>
        </is>
      </c>
      <c r="B172" s="120" t="inlineStr">
        <is>
          <t>Aaa</t>
        </is>
      </c>
      <c r="C172" s="119" t="n">
        <v>0</v>
      </c>
      <c r="D172" s="119">
        <f>$B$1+E172</f>
        <v/>
      </c>
      <c r="E172" s="119" t="n">
        <v>0</v>
      </c>
      <c r="F172" s="119" t="n">
        <v>0.206</v>
      </c>
    </row>
    <row r="173" ht="16" customHeight="1">
      <c r="A173" s="436" t="inlineStr">
        <is>
          <t>Switzerland</t>
        </is>
      </c>
      <c r="B173" s="120" t="inlineStr">
        <is>
          <t>Aaa</t>
        </is>
      </c>
      <c r="C173" s="119" t="n">
        <v>0</v>
      </c>
      <c r="D173" s="119">
        <f>$B$1+E173</f>
        <v/>
      </c>
      <c r="E173" s="119" t="n">
        <v>0</v>
      </c>
      <c r="F173" s="119" t="n">
        <v>0.146</v>
      </c>
    </row>
    <row r="174" ht="16" customHeight="1">
      <c r="A174" s="438" t="inlineStr">
        <is>
          <t>Syria</t>
        </is>
      </c>
      <c r="B174" s="120" t="inlineStr">
        <is>
          <t>NR</t>
        </is>
      </c>
      <c r="C174" s="119" t="n">
        <v>0.175</v>
      </c>
      <c r="D174" s="119">
        <f>$B$1+E174</f>
        <v/>
      </c>
      <c r="E174" s="119" t="n">
        <v>0.2349269277078294</v>
      </c>
      <c r="F174" s="119" t="n">
        <v>0.28</v>
      </c>
    </row>
    <row r="175" ht="16" customHeight="1">
      <c r="A175" s="436" t="inlineStr">
        <is>
          <t>Taiwan</t>
        </is>
      </c>
      <c r="B175" s="120" t="inlineStr">
        <is>
          <t>Aa3</t>
        </is>
      </c>
      <c r="C175" s="119" t="n">
        <v>0.006530278328787503</v>
      </c>
      <c r="D175" s="119">
        <f>$B$1+E175</f>
        <v/>
      </c>
      <c r="E175" s="119" t="n">
        <v>0.008766504142051809</v>
      </c>
      <c r="F175" s="119" t="n">
        <v>0.2</v>
      </c>
    </row>
    <row r="176" ht="16" customHeight="1">
      <c r="A176" s="436" t="inlineStr">
        <is>
          <t>Tajikistan</t>
        </is>
      </c>
      <c r="B176" s="120" t="inlineStr">
        <is>
          <t>B3</t>
        </is>
      </c>
      <c r="C176" s="119" t="n">
        <v>0.07080870423175468</v>
      </c>
      <c r="D176" s="119">
        <f>$B$1+E176</f>
        <v/>
      </c>
      <c r="E176" s="119" t="n">
        <v>0.09505640765793431</v>
      </c>
      <c r="F176" s="119" t="n">
        <v>0.18</v>
      </c>
    </row>
    <row r="177" ht="16" customHeight="1">
      <c r="A177" s="436" t="inlineStr">
        <is>
          <t>Tanzania</t>
        </is>
      </c>
      <c r="B177" s="120" t="inlineStr">
        <is>
          <t>B2</t>
        </is>
      </c>
      <c r="C177" s="119" t="n">
        <v>0.05992490701710886</v>
      </c>
      <c r="D177" s="119">
        <f>$B$1+E177</f>
        <v/>
      </c>
      <c r="E177" s="119" t="n">
        <v>0.08044556742118129</v>
      </c>
      <c r="F177" s="119" t="n">
        <v>0.3</v>
      </c>
    </row>
    <row r="178" ht="16" customHeight="1">
      <c r="A178" s="436" t="inlineStr">
        <is>
          <t>Thailand</t>
        </is>
      </c>
      <c r="B178" s="120" t="inlineStr">
        <is>
          <t>Baa1</t>
        </is>
      </c>
      <c r="C178" s="119" t="n">
        <v>0.01741407554343334</v>
      </c>
      <c r="D178" s="119">
        <f>$B$1+E178</f>
        <v/>
      </c>
      <c r="E178" s="119" t="n">
        <v>0.02337734437880483</v>
      </c>
      <c r="F178" s="119" t="n">
        <v>0.2</v>
      </c>
    </row>
    <row r="179" ht="16" customHeight="1">
      <c r="A179" s="436" t="inlineStr">
        <is>
          <t>Togo</t>
        </is>
      </c>
      <c r="B179" s="120" t="inlineStr">
        <is>
          <t>B3</t>
        </is>
      </c>
      <c r="C179" s="119" t="n">
        <v>0.07080870423175468</v>
      </c>
      <c r="D179" s="119">
        <f>$B$1+E179</f>
        <v/>
      </c>
      <c r="E179" s="119" t="n">
        <v>0.09505640765793431</v>
      </c>
      <c r="F179" s="119" t="n">
        <v>0.2686</v>
      </c>
    </row>
    <row r="180" ht="16" customHeight="1">
      <c r="A180" s="436" t="inlineStr">
        <is>
          <t>Trinidad &amp;' Tobago</t>
        </is>
      </c>
      <c r="B180" s="120" t="inlineStr">
        <is>
          <t>Ba2</t>
        </is>
      </c>
      <c r="C180" s="119" t="n">
        <v>0.032779436317051</v>
      </c>
      <c r="D180" s="119">
        <f>$B$1+E180</f>
        <v/>
      </c>
      <c r="E180" s="119" t="n">
        <v>0.0440044129483385</v>
      </c>
      <c r="F180" s="119" t="n">
        <v>0.3</v>
      </c>
    </row>
    <row r="181" ht="16" customHeight="1">
      <c r="A181" s="436" t="inlineStr">
        <is>
          <t>Tunisia</t>
        </is>
      </c>
      <c r="B181" s="120" t="inlineStr">
        <is>
          <t>Caa2</t>
        </is>
      </c>
      <c r="C181" s="119" t="n">
        <v>0.09808221960492602</v>
      </c>
      <c r="D181" s="119">
        <f>$B$1+E181</f>
        <v/>
      </c>
      <c r="E181" s="119" t="n">
        <v>0.1316694543688566</v>
      </c>
      <c r="F181" s="119" t="n">
        <v>0.15</v>
      </c>
    </row>
    <row r="182" ht="16" customHeight="1">
      <c r="A182" s="436" t="inlineStr">
        <is>
          <t>Turkey</t>
        </is>
      </c>
      <c r="B182" s="120" t="inlineStr">
        <is>
          <t>B3</t>
        </is>
      </c>
      <c r="C182" s="119" t="n">
        <v>0.07080870423175468</v>
      </c>
      <c r="D182" s="119">
        <f>$B$1+E182</f>
        <v/>
      </c>
      <c r="E182" s="119" t="n">
        <v>0.09505640765793431</v>
      </c>
      <c r="F182" s="119" t="n">
        <v>0.25</v>
      </c>
    </row>
    <row r="183" ht="16" customHeight="1">
      <c r="A183" s="439" t="inlineStr">
        <is>
          <t>Turks &amp; Caicos Islands</t>
        </is>
      </c>
      <c r="B183" s="120" t="inlineStr">
        <is>
          <t>Baa1</t>
        </is>
      </c>
      <c r="C183" s="119" t="n">
        <v>0.01741407554343334</v>
      </c>
      <c r="D183" s="119">
        <f>$B$1+E183</f>
        <v/>
      </c>
      <c r="E183" s="119" t="n">
        <v>0.02337734437880483</v>
      </c>
      <c r="F183" s="119" t="n">
        <v>0</v>
      </c>
    </row>
    <row r="184" ht="16" customHeight="1">
      <c r="A184" s="436" t="inlineStr">
        <is>
          <t>Uganda</t>
        </is>
      </c>
      <c r="B184" s="120" t="inlineStr">
        <is>
          <t>B2</t>
        </is>
      </c>
      <c r="C184" s="119" t="n">
        <v>0.05992490701710886</v>
      </c>
      <c r="D184" s="119">
        <f>$B$1+E184</f>
        <v/>
      </c>
      <c r="E184" s="119" t="n">
        <v>0.08044556742118129</v>
      </c>
      <c r="F184" s="119" t="n">
        <v>0.3</v>
      </c>
    </row>
    <row r="185" ht="16" customHeight="1">
      <c r="A185" s="436" t="inlineStr">
        <is>
          <t>Ukraine</t>
        </is>
      </c>
      <c r="B185" s="120" t="inlineStr">
        <is>
          <t>Ca</t>
        </is>
      </c>
      <c r="C185" s="119" t="n">
        <v>0.1307336112488635</v>
      </c>
      <c r="D185" s="119">
        <f>$B$1+E185</f>
        <v/>
      </c>
      <c r="E185" s="119" t="n">
        <v>0.1755019750791156</v>
      </c>
      <c r="F185" s="119" t="n">
        <v>0.18</v>
      </c>
    </row>
    <row r="186" ht="16" customHeight="1">
      <c r="A186" s="436" t="inlineStr">
        <is>
          <t>United Arab Emirates</t>
        </is>
      </c>
      <c r="B186" s="120" t="inlineStr">
        <is>
          <t>Aa2</t>
        </is>
      </c>
      <c r="C186" s="119" t="n">
        <v>0.005377876270766179</v>
      </c>
      <c r="D186" s="119">
        <f>$B$1+E186</f>
        <v/>
      </c>
      <c r="E186" s="119" t="n">
        <v>0.007219473999336784</v>
      </c>
      <c r="F186" s="119" t="n">
        <v>0.25</v>
      </c>
    </row>
    <row r="187" ht="16" customHeight="1">
      <c r="A187" s="436" t="inlineStr">
        <is>
          <t>United Kingdom</t>
        </is>
      </c>
      <c r="B187" s="120" t="inlineStr">
        <is>
          <t>Aa3</t>
        </is>
      </c>
      <c r="C187" s="119" t="n">
        <v>0.006530278328787503</v>
      </c>
      <c r="D187" s="119">
        <f>$B$1+E187</f>
        <v/>
      </c>
      <c r="E187" s="119" t="n">
        <v>0.008766504142051809</v>
      </c>
      <c r="F187" s="119" t="n">
        <v>0.25</v>
      </c>
    </row>
    <row r="188" ht="16" customHeight="1">
      <c r="A188" s="436" t="inlineStr">
        <is>
          <t>United States</t>
        </is>
      </c>
      <c r="B188" s="120" t="inlineStr">
        <is>
          <t>Aaa</t>
        </is>
      </c>
      <c r="C188" s="119" t="n">
        <v>0</v>
      </c>
      <c r="D188" s="119">
        <f>$B$1+E188</f>
        <v/>
      </c>
      <c r="E188" s="119" t="n">
        <v>0</v>
      </c>
      <c r="F188" s="119" t="n">
        <v>0.25</v>
      </c>
    </row>
    <row r="189" ht="16" customHeight="1">
      <c r="A189" s="436" t="inlineStr">
        <is>
          <t>Uruguay</t>
        </is>
      </c>
      <c r="B189" s="120" t="inlineStr">
        <is>
          <t>Baa2</t>
        </is>
      </c>
      <c r="C189" s="119" t="n">
        <v>0.02074323704438383</v>
      </c>
      <c r="D189" s="119">
        <f>$B$1+E189</f>
        <v/>
      </c>
      <c r="E189" s="119" t="n">
        <v>0.02784654256887045</v>
      </c>
      <c r="F189" s="119" t="n">
        <v>0.25</v>
      </c>
    </row>
    <row r="190" ht="16" customHeight="1">
      <c r="A190" s="436" t="inlineStr">
        <is>
          <t>Uzbekistan</t>
        </is>
      </c>
      <c r="B190" s="120" t="inlineStr">
        <is>
          <t>Ba3</t>
        </is>
      </c>
      <c r="C190" s="119" t="n">
        <v>0.03918166997272502</v>
      </c>
      <c r="D190" s="119">
        <f>$B$1+E190</f>
        <v/>
      </c>
      <c r="E190" s="119" t="n">
        <v>0.05259902485231086</v>
      </c>
      <c r="F190" s="119" t="n">
        <v>0.15</v>
      </c>
    </row>
    <row r="191" ht="16" customHeight="1">
      <c r="A191" s="436" t="inlineStr">
        <is>
          <t>Venezuela</t>
        </is>
      </c>
      <c r="B191" s="120" t="inlineStr">
        <is>
          <t>C</t>
        </is>
      </c>
      <c r="C191" s="119" t="n">
        <v>0.175</v>
      </c>
      <c r="D191" s="119">
        <f>$B$1+E191</f>
        <v/>
      </c>
      <c r="E191" s="119" t="n">
        <v>0.2349269277078294</v>
      </c>
      <c r="F191" s="119" t="n">
        <v>0.34</v>
      </c>
    </row>
    <row r="192" ht="16" customHeight="1">
      <c r="A192" s="436" t="inlineStr">
        <is>
          <t>Vietnam</t>
        </is>
      </c>
      <c r="B192" s="120" t="inlineStr">
        <is>
          <t>Ba2</t>
        </is>
      </c>
      <c r="C192" s="119" t="n">
        <v>0.032779436317051</v>
      </c>
      <c r="D192" s="119">
        <f>$B$1+E192</f>
        <v/>
      </c>
      <c r="E192" s="119" t="n">
        <v>0.0440044129483385</v>
      </c>
      <c r="F192" s="119" t="n">
        <v>0.2</v>
      </c>
    </row>
    <row r="193" ht="16" customHeight="1">
      <c r="A193" s="437" t="inlineStr">
        <is>
          <t>Yemen</t>
        </is>
      </c>
      <c r="B193" s="120" t="inlineStr">
        <is>
          <t>NR</t>
        </is>
      </c>
      <c r="C193" s="119" t="n">
        <v>0.1089660168195719</v>
      </c>
      <c r="D193" s="119">
        <f>$B$1+E193</f>
        <v/>
      </c>
      <c r="E193" s="119" t="n">
        <v>0.1462802946056097</v>
      </c>
      <c r="F193" s="119" t="n">
        <v>0.2</v>
      </c>
    </row>
    <row r="194" ht="16" customHeight="1">
      <c r="A194" s="436" t="inlineStr">
        <is>
          <t>Zambia</t>
        </is>
      </c>
      <c r="B194" s="120" t="inlineStr">
        <is>
          <t>Caa3</t>
        </is>
      </c>
      <c r="C194" s="119" t="n">
        <v>0.1089660168195719</v>
      </c>
      <c r="D194" s="119">
        <f>$B$1+E194</f>
        <v/>
      </c>
      <c r="E194" s="119" t="n">
        <v>0.1462802946056097</v>
      </c>
      <c r="F194" s="119" t="n">
        <v>0.35</v>
      </c>
    </row>
    <row r="195" ht="16" customHeight="1">
      <c r="A195" s="438" t="inlineStr">
        <is>
          <t>Zimbabwe</t>
        </is>
      </c>
      <c r="B195" s="120" t="inlineStr">
        <is>
          <t>NR</t>
        </is>
      </c>
      <c r="C195" s="119" t="n">
        <v>0.09808221960492602</v>
      </c>
      <c r="D195" s="119">
        <f>$B$1+E195</f>
        <v/>
      </c>
      <c r="E195" s="119" t="n">
        <v>0.1316694543688566</v>
      </c>
      <c r="F195" s="119" t="n">
        <v>0.25</v>
      </c>
    </row>
    <row r="200">
      <c r="A200" s="453" t="inlineStr">
        <is>
          <t>Region</t>
        </is>
      </c>
      <c r="B200" s="454" t="inlineStr">
        <is>
          <t>ERP</t>
        </is>
      </c>
      <c r="C200" s="454" t="inlineStr">
        <is>
          <t>Default Spread</t>
        </is>
      </c>
      <c r="D200" s="454" t="inlineStr">
        <is>
          <t>Tax Rate</t>
        </is>
      </c>
      <c r="E200" s="454" t="inlineStr">
        <is>
          <t>CRP</t>
        </is>
      </c>
    </row>
    <row r="201">
      <c r="A201" s="447" t="inlineStr">
        <is>
          <t>Africa</t>
        </is>
      </c>
      <c r="B201" s="455">
        <f>$B$1+E201</f>
        <v/>
      </c>
      <c r="C201" s="455" t="n">
        <v>0.06826267935109193</v>
      </c>
      <c r="D201" s="455" t="n">
        <v>0.2730283648900569</v>
      </c>
      <c r="E201" s="455" t="n">
        <v>0.09163852306889544</v>
      </c>
    </row>
    <row r="202">
      <c r="A202" s="447" t="inlineStr">
        <is>
          <t>Asia</t>
        </is>
      </c>
      <c r="B202" s="455">
        <f>$B$1+E202</f>
        <v/>
      </c>
      <c r="C202" s="455" t="n">
        <v>0.01251855589819318</v>
      </c>
      <c r="D202" s="455" t="n">
        <v>0.2576437502455447</v>
      </c>
      <c r="E202" s="455" t="n">
        <v>0.01680540500857857</v>
      </c>
    </row>
    <row r="203">
      <c r="A203" s="447" t="inlineStr">
        <is>
          <t>Australia &amp; New Zealand</t>
        </is>
      </c>
      <c r="B203" s="455">
        <f>$B$1+E203</f>
        <v/>
      </c>
      <c r="C203" s="455" t="n">
        <v>3.569890154426591e-05</v>
      </c>
      <c r="D203" s="455" t="n">
        <v>0.2974436132876228</v>
      </c>
      <c r="E203" s="455" t="n">
        <v>4.792361864193529e-05</v>
      </c>
    </row>
    <row r="204">
      <c r="A204" s="447" t="inlineStr">
        <is>
          <t>Caribbean</t>
        </is>
      </c>
      <c r="B204" s="455">
        <f>$B$1+E204</f>
        <v/>
      </c>
      <c r="C204" s="455" t="n">
        <v>0.1054310997313879</v>
      </c>
      <c r="D204" s="455" t="n">
        <v>0.2724561140242252</v>
      </c>
      <c r="E204" s="455" t="n">
        <v>0.1415348819700155</v>
      </c>
    </row>
    <row r="205">
      <c r="A205" s="447" t="inlineStr">
        <is>
          <t>Central and South America</t>
        </is>
      </c>
      <c r="B205" s="455">
        <f>$B$1+E205</f>
        <v/>
      </c>
      <c r="C205" s="455" t="n">
        <v>0.04291508619362226</v>
      </c>
      <c r="D205" s="455" t="n">
        <v>0.3159574942603002</v>
      </c>
      <c r="E205" s="455" t="n">
        <v>0.05761091058162495</v>
      </c>
    </row>
    <row r="206">
      <c r="A206" s="447" t="inlineStr">
        <is>
          <t>Eastern Europe &amp; Russia</t>
        </is>
      </c>
      <c r="B206" s="455">
        <f>$B$1+E206</f>
        <v/>
      </c>
      <c r="C206" s="455" t="n">
        <v>0.03767039834545784</v>
      </c>
      <c r="D206" s="455" t="n">
        <v>0.1848581910218031</v>
      </c>
      <c r="E206" s="455" t="n">
        <v>0.05057938347719226</v>
      </c>
    </row>
    <row r="207">
      <c r="A207" s="447" t="inlineStr">
        <is>
          <t>Middle East</t>
        </is>
      </c>
      <c r="B207" s="455">
        <f>$B$1+E207</f>
        <v/>
      </c>
      <c r="C207" s="455" t="n">
        <v>0.01608265362787447</v>
      </c>
      <c r="D207" s="455" t="n">
        <v>0.1876015215361524</v>
      </c>
      <c r="E207" s="455" t="n">
        <v>0.02158999089248985</v>
      </c>
    </row>
    <row r="208">
      <c r="A208" s="447" t="inlineStr">
        <is>
          <t>North America</t>
        </is>
      </c>
      <c r="B208" s="455">
        <f>$B$1+E208</f>
        <v/>
      </c>
      <c r="C208" s="455" t="n">
        <v>0</v>
      </c>
      <c r="D208" s="455" t="n">
        <v>0.2511628656117083</v>
      </c>
      <c r="E208" s="455" t="n">
        <v>0</v>
      </c>
    </row>
    <row r="209">
      <c r="A209" s="447" t="inlineStr">
        <is>
          <t>Western Europe</t>
        </is>
      </c>
      <c r="B209" s="455">
        <f>$B$1+E209</f>
        <v/>
      </c>
      <c r="C209" s="455" t="n">
        <v>0.009588220147283357</v>
      </c>
      <c r="D209" s="455" t="n">
        <v>0.2470734954341358</v>
      </c>
      <c r="E209" s="455" t="n">
        <v>0.01287160629364337</v>
      </c>
    </row>
    <row r="210">
      <c r="A210" s="447" t="inlineStr">
        <is>
          <t>Global</t>
        </is>
      </c>
      <c r="B210" s="455">
        <f>$B$1+E210</f>
        <v/>
      </c>
      <c r="C210" s="455" t="n">
        <v>0.0135</v>
      </c>
      <c r="D210" s="455" t="n">
        <v>0.2522594250976475</v>
      </c>
      <c r="E210" s="455" t="n">
        <v>0.0181</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A95"/>
  <sheetViews>
    <sheetView workbookViewId="0">
      <pane xSplit="1" ySplit="1" topLeftCell="B2" activePane="bottomRight" state="frozen"/>
      <selection pane="topRight" activeCell="B1" sqref="B1"/>
      <selection pane="bottomLeft" activeCell="A2" sqref="A2"/>
      <selection pane="bottomRight" activeCell="A1" sqref="A1:AA65536"/>
    </sheetView>
  </sheetViews>
  <sheetFormatPr baseColWidth="10" defaultColWidth="11.5" defaultRowHeight="13"/>
  <cols>
    <col width="20.33203125" bestFit="1" customWidth="1" min="1" max="1"/>
    <col width="11.5" bestFit="1" customWidth="1" min="2" max="2"/>
    <col width="9.5" bestFit="1" customWidth="1" min="3" max="3"/>
    <col width="11.83203125" bestFit="1" customWidth="1" min="4" max="4"/>
    <col width="12.5" customWidth="1" min="5" max="5"/>
    <col width="10.5" bestFit="1" customWidth="1" min="6" max="6"/>
    <col width="11.5" bestFit="1" customWidth="1" min="7" max="7"/>
    <col width="22.5" bestFit="1" customWidth="1" min="8" max="8"/>
    <col width="10.83203125" customWidth="1" min="9" max="23"/>
  </cols>
  <sheetData>
    <row r="1" ht="84" customFormat="1" customHeight="1" s="177">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ht="14" customHeight="1">
      <c r="A2" s="152" t="inlineStr">
        <is>
          <t>Advertising</t>
        </is>
      </c>
      <c r="B2" s="76" t="n">
        <v>57</v>
      </c>
      <c r="C2" s="153" t="n">
        <v>0.115684</v>
      </c>
      <c r="D2" s="153" t="n">
        <v>0.09613021337246905</v>
      </c>
      <c r="E2" s="153" t="n">
        <v>0.3151511149045307</v>
      </c>
      <c r="F2" s="153" t="n">
        <v>0.2055435321025397</v>
      </c>
      <c r="G2" s="154" t="n">
        <v>1.180610438662927</v>
      </c>
      <c r="H2" s="154" t="n">
        <v>1.372325622921412</v>
      </c>
      <c r="I2" s="153" t="n">
        <v>0.101926978654385</v>
      </c>
      <c r="J2" s="153" t="n">
        <v>0.5641442530150431</v>
      </c>
      <c r="K2" s="153" t="n">
        <v>0.053524</v>
      </c>
      <c r="L2" s="153" t="n">
        <v>0.2524180847970958</v>
      </c>
      <c r="M2" s="153" t="n">
        <v>0.08633158509130047</v>
      </c>
      <c r="N2" s="154" t="n">
        <v>3.283403041333076</v>
      </c>
      <c r="O2" s="154" t="n">
        <v>2.259512900560495</v>
      </c>
      <c r="P2" s="154" t="n">
        <v>12.94031299742153</v>
      </c>
      <c r="Q2" s="154" t="n">
        <v>22.23859403832829</v>
      </c>
      <c r="R2" s="154" t="n">
        <v>5.76329812534153</v>
      </c>
      <c r="S2" s="154" t="n">
        <v>175.7347018715134</v>
      </c>
      <c r="T2" s="153" t="n">
        <v>0.01253414136414461</v>
      </c>
      <c r="U2" s="153" t="n">
        <v>0.01834674674697402</v>
      </c>
      <c r="V2" s="153" t="n">
        <v>-0.01688608621688379</v>
      </c>
      <c r="W2" s="153" t="n">
        <v>-0.00993406001897932</v>
      </c>
      <c r="X2" s="153" t="n">
        <v>0.03254100619615204</v>
      </c>
      <c r="Y2" s="153" t="n">
        <v>2.828444643801165</v>
      </c>
      <c r="Z2" s="153" t="n">
        <v>2.828444643801165</v>
      </c>
      <c r="AA2" s="155" t="n">
        <v>0.1014007231059756</v>
      </c>
    </row>
    <row r="3" ht="14" customHeight="1">
      <c r="A3" s="152" t="inlineStr">
        <is>
          <t>Aerospace/Defense</t>
        </is>
      </c>
      <c r="B3" s="76" t="n">
        <v>70</v>
      </c>
      <c r="C3" s="153" t="n">
        <v>0.07588256410256408</v>
      </c>
      <c r="D3" s="153" t="n">
        <v>0.08539384678911589</v>
      </c>
      <c r="E3" s="153" t="n">
        <v>0.1616771766434066</v>
      </c>
      <c r="F3" s="153" t="n">
        <v>0.154498784518862</v>
      </c>
      <c r="G3" s="154" t="n">
        <v>0.9308535405948443</v>
      </c>
      <c r="H3" s="154" t="n">
        <v>1.076405015335632</v>
      </c>
      <c r="I3" s="153" t="n">
        <v>0.08831463070543909</v>
      </c>
      <c r="J3" s="153" t="n">
        <v>0.3640214967123068</v>
      </c>
      <c r="K3" s="153" t="n">
        <v>0.050855</v>
      </c>
      <c r="L3" s="153" t="n">
        <v>0.2029177762016288</v>
      </c>
      <c r="M3" s="153" t="n">
        <v>0.07813355986817368</v>
      </c>
      <c r="N3" s="154" t="n">
        <v>1.984339580466692</v>
      </c>
      <c r="O3" s="154" t="n">
        <v>2.478314246749687</v>
      </c>
      <c r="P3" s="154" t="n">
        <v>18.48871160327</v>
      </c>
      <c r="Q3" s="154" t="n">
        <v>28.31027948553682</v>
      </c>
      <c r="R3" s="154" t="n">
        <v>5.077156879683216</v>
      </c>
      <c r="S3" s="154" t="n">
        <v>32.51725090590988</v>
      </c>
      <c r="T3" s="153" t="n">
        <v>0.450427642039655</v>
      </c>
      <c r="U3" s="153" t="n">
        <v>0.02834284669689561</v>
      </c>
      <c r="V3" s="153" t="n">
        <v>0.02282923210385782</v>
      </c>
      <c r="W3" s="153" t="n">
        <v>0.3924774302821871</v>
      </c>
      <c r="X3" s="153" t="n">
        <v>0.1319148365195282</v>
      </c>
      <c r="Y3" s="153" t="n">
        <v>0.5369469719720693</v>
      </c>
      <c r="Z3" s="153" t="n">
        <v>0.5369469719720693</v>
      </c>
      <c r="AA3" s="155" t="n">
        <v>0.08770115426633238</v>
      </c>
    </row>
    <row r="4" ht="14" customHeight="1">
      <c r="A4" s="152" t="inlineStr">
        <is>
          <t>Air Transport</t>
        </is>
      </c>
      <c r="B4" s="76" t="n">
        <v>25</v>
      </c>
      <c r="C4" s="153" t="n">
        <v>0.02902833333333334</v>
      </c>
      <c r="D4" s="153" t="n">
        <v>0.06895611482307311</v>
      </c>
      <c r="E4" s="153" t="n">
        <v>0.1092325173386668</v>
      </c>
      <c r="F4" s="153" t="n">
        <v>0.2352876754522937</v>
      </c>
      <c r="G4" s="154" t="n">
        <v>0.6401880468304745</v>
      </c>
      <c r="H4" s="154" t="n">
        <v>1.266840171481637</v>
      </c>
      <c r="I4" s="153" t="n">
        <v>0.09707464788815531</v>
      </c>
      <c r="J4" s="153" t="n">
        <v>0.4465099892190103</v>
      </c>
      <c r="K4" s="153" t="n">
        <v>0.050855</v>
      </c>
      <c r="L4" s="153" t="n">
        <v>0.6185403903760626</v>
      </c>
      <c r="M4" s="153" t="n">
        <v>0.06062196095222791</v>
      </c>
      <c r="N4" s="154" t="n">
        <v>1.777319962533614</v>
      </c>
      <c r="O4" s="154" t="n">
        <v>0.905791803102739</v>
      </c>
      <c r="P4" s="154" t="n">
        <v>6.167496525519073</v>
      </c>
      <c r="Q4" s="154" t="n">
        <v>13.02453750133096</v>
      </c>
      <c r="R4" s="154" t="n">
        <v>2.235942038931019</v>
      </c>
      <c r="S4" s="154" t="n">
        <v>12.6589541050865</v>
      </c>
      <c r="T4" s="153" t="n">
        <v>0.01094438524827086</v>
      </c>
      <c r="U4" s="153" t="n">
        <v>0.1115992563811797</v>
      </c>
      <c r="V4" s="153" t="n">
        <v>0.06720275462762036</v>
      </c>
      <c r="W4" s="153" t="n">
        <v>1.185896729348648</v>
      </c>
      <c r="X4" s="153" t="n">
        <v>0.219363538879951</v>
      </c>
      <c r="Y4" s="153" t="n">
        <v>0.07863271908847939</v>
      </c>
      <c r="Z4" s="153" t="n">
        <v>0.07863271908847935</v>
      </c>
      <c r="AA4" s="155" t="n">
        <v>0.06722710910472822</v>
      </c>
    </row>
    <row r="5" ht="14" customHeight="1">
      <c r="A5" s="152" t="inlineStr">
        <is>
          <t>Apparel</t>
        </is>
      </c>
      <c r="B5" s="76" t="n">
        <v>38</v>
      </c>
      <c r="C5" s="153" t="n">
        <v>0.057186</v>
      </c>
      <c r="D5" s="153" t="n">
        <v>0.08757781197777915</v>
      </c>
      <c r="E5" s="153" t="n">
        <v>0.1529348778890666</v>
      </c>
      <c r="F5" s="153" t="n">
        <v>0.321659193318978</v>
      </c>
      <c r="G5" s="154" t="n">
        <v>0.9295756500550167</v>
      </c>
      <c r="H5" s="154" t="n">
        <v>1.194699876968912</v>
      </c>
      <c r="I5" s="153" t="n">
        <v>0.09375619434056993</v>
      </c>
      <c r="J5" s="153" t="n">
        <v>0.3703550990458848</v>
      </c>
      <c r="K5" s="153" t="n">
        <v>0.050855</v>
      </c>
      <c r="L5" s="153" t="n">
        <v>0.3277875013609528</v>
      </c>
      <c r="M5" s="153" t="n">
        <v>0.07552631069684605</v>
      </c>
      <c r="N5" s="154" t="n">
        <v>1.773076235205058</v>
      </c>
      <c r="O5" s="154" t="n">
        <v>1.20138035915257</v>
      </c>
      <c r="P5" s="154" t="n">
        <v>7.918116190218288</v>
      </c>
      <c r="Q5" s="154" t="n">
        <v>12.3884013084472</v>
      </c>
      <c r="R5" s="154" t="n">
        <v>2.558152550895334</v>
      </c>
      <c r="S5" s="154" t="n">
        <v>18.68854542735665</v>
      </c>
      <c r="T5" s="153" t="n">
        <v>0.2465026172608816</v>
      </c>
      <c r="U5" s="153" t="n">
        <v>0.0241727298617933</v>
      </c>
      <c r="V5" s="153" t="n">
        <v>0.005365083866607844</v>
      </c>
      <c r="W5" s="153" t="n">
        <v>-0.07285876271141715</v>
      </c>
      <c r="X5" s="153" t="n">
        <v>0.09204171598277805</v>
      </c>
      <c r="Y5" s="153" t="n">
        <v>0.7498299827899141</v>
      </c>
      <c r="Z5" s="153" t="n">
        <v>0.7498299827899141</v>
      </c>
      <c r="AA5" s="155" t="n">
        <v>0.09604206456031172</v>
      </c>
    </row>
    <row r="6" ht="14" customHeight="1">
      <c r="A6" s="152" t="inlineStr">
        <is>
          <t>Auto &amp; Truck</t>
        </is>
      </c>
      <c r="B6" s="76" t="n">
        <v>34</v>
      </c>
      <c r="C6" s="153" t="n">
        <v>0.2194211111111111</v>
      </c>
      <c r="D6" s="153" t="n">
        <v>0.04819731976726051</v>
      </c>
      <c r="E6" s="153" t="n">
        <v>0.05186632508660861</v>
      </c>
      <c r="F6" s="153" t="n">
        <v>0.1320697757652148</v>
      </c>
      <c r="G6" s="154" t="n">
        <v>1.304030918438059</v>
      </c>
      <c r="H6" s="154" t="n">
        <v>1.522377906576855</v>
      </c>
      <c r="I6" s="153" t="n">
        <v>0.1088293837025353</v>
      </c>
      <c r="J6" s="153" t="n">
        <v>0.59698514250326</v>
      </c>
      <c r="K6" s="153" t="n">
        <v>0.053524</v>
      </c>
      <c r="L6" s="153" t="n">
        <v>0.2367543405333036</v>
      </c>
      <c r="M6" s="153" t="n">
        <v>0.0925675842254241</v>
      </c>
      <c r="N6" s="154" t="n">
        <v>1.048731678622114</v>
      </c>
      <c r="O6" s="154" t="n">
        <v>2.49244819101794</v>
      </c>
      <c r="P6" s="154" t="n">
        <v>21.64929145797548</v>
      </c>
      <c r="Q6" s="154" t="n">
        <v>49.57816559948071</v>
      </c>
      <c r="R6" s="154" t="n">
        <v>4.598881244319622</v>
      </c>
      <c r="S6" s="154" t="n">
        <v>21.1201528748729</v>
      </c>
      <c r="T6" s="153" t="n">
        <v>-0.02199384121059546</v>
      </c>
      <c r="U6" s="153" t="n">
        <v>0.06409275484587712</v>
      </c>
      <c r="V6" s="153" t="n">
        <v>0.02657667328995576</v>
      </c>
      <c r="W6" s="153" t="n">
        <v>0.8147103151259559</v>
      </c>
      <c r="X6" s="153" t="n">
        <v>0.09370908108633746</v>
      </c>
      <c r="Y6" s="153" t="n">
        <v>0.3545922492769362</v>
      </c>
      <c r="Z6" s="153" t="n">
        <v>0.3545922492769362</v>
      </c>
      <c r="AA6" s="155" t="n">
        <v>0.05097954162021133</v>
      </c>
    </row>
    <row r="7" ht="14" customHeight="1">
      <c r="A7" s="152" t="inlineStr">
        <is>
          <t>Auto Parts</t>
        </is>
      </c>
      <c r="B7" s="76" t="n">
        <v>39</v>
      </c>
      <c r="C7" s="153" t="n">
        <v>0.06284695652173916</v>
      </c>
      <c r="D7" s="153" t="n">
        <v>0.05306898539439057</v>
      </c>
      <c r="E7" s="153" t="n">
        <v>0.1015604704407085</v>
      </c>
      <c r="F7" s="153" t="n">
        <v>0.2795040993246159</v>
      </c>
      <c r="G7" s="154" t="n">
        <v>1.121103870434589</v>
      </c>
      <c r="H7" s="154" t="n">
        <v>1.344426590380804</v>
      </c>
      <c r="I7" s="153" t="n">
        <v>0.100643623157517</v>
      </c>
      <c r="J7" s="153" t="n">
        <v>0.3707196400160045</v>
      </c>
      <c r="K7" s="153" t="n">
        <v>0.050855</v>
      </c>
      <c r="L7" s="153" t="n">
        <v>0.2776627158727018</v>
      </c>
      <c r="M7" s="153" t="n">
        <v>0.08328904447811177</v>
      </c>
      <c r="N7" s="154" t="n">
        <v>2.004790963758861</v>
      </c>
      <c r="O7" s="154" t="n">
        <v>0.8166091584007446</v>
      </c>
      <c r="P7" s="154" t="n">
        <v>7.05552696054855</v>
      </c>
      <c r="Q7" s="154" t="n">
        <v>14.11643631329104</v>
      </c>
      <c r="R7" s="154" t="n">
        <v>1.997530346905652</v>
      </c>
      <c r="S7" s="154" t="n">
        <v>39.03342462860953</v>
      </c>
      <c r="T7" s="153" t="n">
        <v>0.1545092467597889</v>
      </c>
      <c r="U7" s="153" t="n">
        <v>0.03707814807523698</v>
      </c>
      <c r="V7" s="153" t="n">
        <v>0.03169360364635347</v>
      </c>
      <c r="W7" s="153" t="n">
        <v>0.9518332479515937</v>
      </c>
      <c r="X7" s="153" t="n">
        <v>0.05723613672909091</v>
      </c>
      <c r="Y7" s="153" t="n">
        <v>0.4536555295436519</v>
      </c>
      <c r="Z7" s="153" t="n">
        <v>0.453655529543652</v>
      </c>
      <c r="AA7" s="155" t="n">
        <v>0.05852054853699624</v>
      </c>
    </row>
    <row r="8" ht="14" customHeight="1">
      <c r="A8" s="152" t="inlineStr">
        <is>
          <t>Bank (Money Center)</t>
        </is>
      </c>
      <c r="B8" s="76" t="n">
        <v>15</v>
      </c>
      <c r="C8" s="153" t="n">
        <v>0.07275384615384616</v>
      </c>
      <c r="D8" s="153" t="n">
        <v>0</v>
      </c>
      <c r="E8" s="153" t="n">
        <v>0.0001780996586483595</v>
      </c>
      <c r="F8" s="153" t="n">
        <v>0.1586016426116358</v>
      </c>
      <c r="G8" s="154" t="n">
        <v>0.644005117845298</v>
      </c>
      <c r="H8" s="154" t="n">
        <v>1.061376169793309</v>
      </c>
      <c r="I8" s="153" t="n">
        <v>0.08762330381049221</v>
      </c>
      <c r="J8" s="153" t="n">
        <v>0.2251052723413744</v>
      </c>
      <c r="K8" s="153" t="n">
        <v>0.045043</v>
      </c>
      <c r="L8" s="153" t="n">
        <v>0.6837066086251078</v>
      </c>
      <c r="M8" s="153" t="n">
        <v>0.05081181950491864</v>
      </c>
      <c r="N8" s="154" t="n">
        <v>0.2664569993305171</v>
      </c>
      <c r="O8" s="154" t="n">
        <v>5.265879881670676</v>
      </c>
      <c r="P8" s="154" t="inlineStr">
        <is>
          <t>NA</t>
        </is>
      </c>
      <c r="Q8" s="154" t="inlineStr">
        <is>
          <t>NA</t>
        </is>
      </c>
      <c r="R8" s="154" t="n">
        <v>1.049260189367703</v>
      </c>
      <c r="S8" s="154" t="n">
        <v>8.547358658097874</v>
      </c>
      <c r="T8" s="153" t="inlineStr">
        <is>
          <t>NA</t>
        </is>
      </c>
      <c r="U8" s="153" t="n">
        <v>0.01973113738071741</v>
      </c>
      <c r="V8" s="153" t="n">
        <v>0.01295314245247542</v>
      </c>
      <c r="W8" s="153" t="n">
        <v>55.7287763138531</v>
      </c>
      <c r="X8" s="153" t="n">
        <v>0.148740347323159</v>
      </c>
      <c r="Y8" s="153" t="n">
        <v>0.2433797029883855</v>
      </c>
      <c r="Z8" s="153" t="n">
        <v>0.2433797029883855</v>
      </c>
      <c r="AA8" s="155" t="n">
        <v>0.0008120089321794556</v>
      </c>
    </row>
    <row r="9" ht="14" customHeight="1">
      <c r="A9" s="152" t="inlineStr">
        <is>
          <t>Banks (Regional)</t>
        </is>
      </c>
      <c r="B9" s="76" t="n">
        <v>625</v>
      </c>
      <c r="C9" s="153" t="n">
        <v>0.0921562422997947</v>
      </c>
      <c r="D9" s="153" t="n">
        <v>3.64153486178921e-08</v>
      </c>
      <c r="E9" s="153" t="n">
        <v>-0.0005337495814512601</v>
      </c>
      <c r="F9" s="153" t="n">
        <v>0.2072412923305567</v>
      </c>
      <c r="G9" s="154" t="n">
        <v>0.3333666067349679</v>
      </c>
      <c r="H9" s="154" t="n">
        <v>0.4611581340936746</v>
      </c>
      <c r="I9" s="153" t="n">
        <v>0.06001327416830903</v>
      </c>
      <c r="J9" s="153" t="n">
        <v>0.1867735328629955</v>
      </c>
      <c r="K9" s="153" t="n">
        <v>0.045043</v>
      </c>
      <c r="L9" s="153" t="n">
        <v>0.5048182884466578</v>
      </c>
      <c r="M9" s="153" t="n">
        <v>0.04677137344346035</v>
      </c>
      <c r="N9" s="154" t="n">
        <v>0.3671924593155293</v>
      </c>
      <c r="O9" s="154" t="n">
        <v>4.47375649038584</v>
      </c>
      <c r="P9" s="154" t="inlineStr">
        <is>
          <t>NA</t>
        </is>
      </c>
      <c r="Q9" s="154" t="inlineStr">
        <is>
          <t>NA</t>
        </is>
      </c>
      <c r="R9" s="154" t="n">
        <v>1.01885892223315</v>
      </c>
      <c r="S9" s="154" t="n">
        <v>35.96629242038575</v>
      </c>
      <c r="T9" s="153" t="inlineStr">
        <is>
          <t>NA</t>
        </is>
      </c>
      <c r="U9" s="153" t="n">
        <v>0.02733682013070851</v>
      </c>
      <c r="V9" s="153" t="n">
        <v>-0.100879047267523</v>
      </c>
      <c r="W9" s="153" t="inlineStr">
        <is>
          <t>NA</t>
        </is>
      </c>
      <c r="X9" s="153" t="n">
        <v>0.1214259211695359</v>
      </c>
      <c r="Y9" s="153" t="n">
        <v>0.3201461786531835</v>
      </c>
      <c r="Z9" s="153" t="n">
        <v>0.3201461786531834</v>
      </c>
      <c r="AA9" s="155" t="n">
        <v>-0.001766088124190321</v>
      </c>
    </row>
    <row r="10" ht="14" customHeight="1">
      <c r="A10" s="152" t="inlineStr">
        <is>
          <t>Beverage (Alcoholic)</t>
        </is>
      </c>
      <c r="B10" s="76" t="n">
        <v>19</v>
      </c>
      <c r="C10" s="153" t="n">
        <v>0.1206222222222222</v>
      </c>
      <c r="D10" s="153" t="n">
        <v>0.2062660572945434</v>
      </c>
      <c r="E10" s="153" t="n">
        <v>0.1667084680413646</v>
      </c>
      <c r="F10" s="153" t="n">
        <v>0.2559553193500614</v>
      </c>
      <c r="G10" s="154" t="n">
        <v>0.9702633521273643</v>
      </c>
      <c r="H10" s="154" t="n">
        <v>1.131834912668812</v>
      </c>
      <c r="I10" s="153" t="n">
        <v>0.09086440598276535</v>
      </c>
      <c r="J10" s="153" t="n">
        <v>0.4970414041193621</v>
      </c>
      <c r="K10" s="153" t="n">
        <v>0.050855</v>
      </c>
      <c r="L10" s="153" t="n">
        <v>0.1965602202006669</v>
      </c>
      <c r="M10" s="153" t="n">
        <v>0.08050113083311888</v>
      </c>
      <c r="N10" s="154" t="n">
        <v>0.8968231153352131</v>
      </c>
      <c r="O10" s="154" t="n">
        <v>3.891668687686919</v>
      </c>
      <c r="P10" s="154" t="n">
        <v>14.84352953298064</v>
      </c>
      <c r="Q10" s="154" t="n">
        <v>18.67884088622671</v>
      </c>
      <c r="R10" s="154" t="n">
        <v>3.099334876875609</v>
      </c>
      <c r="S10" s="154" t="n">
        <v>35.37590107389537</v>
      </c>
      <c r="T10" s="153" t="n">
        <v>0.1711624815573673</v>
      </c>
      <c r="U10" s="153" t="n">
        <v>0.07663177615269445</v>
      </c>
      <c r="V10" s="153" t="n">
        <v>0.09390305849002889</v>
      </c>
      <c r="W10" s="153" t="n">
        <v>0.9081296859580446</v>
      </c>
      <c r="X10" s="153" t="n">
        <v>0.0869908980857384</v>
      </c>
      <c r="Y10" s="153" t="n">
        <v>0.5463466520815233</v>
      </c>
      <c r="Z10" s="153" t="n">
        <v>0.5463466520815233</v>
      </c>
      <c r="AA10" s="155" t="n">
        <v>0.2075104315183193</v>
      </c>
    </row>
    <row r="11" ht="14" customHeight="1">
      <c r="A11" s="152" t="inlineStr">
        <is>
          <t>Beverage (Soft)</t>
        </is>
      </c>
      <c r="B11" s="76" t="n">
        <v>29</v>
      </c>
      <c r="C11" s="153" t="n">
        <v>0.2857907692307692</v>
      </c>
      <c r="D11" s="153" t="n">
        <v>0.1930340297738719</v>
      </c>
      <c r="E11" s="153" t="n">
        <v>0.3065163030779624</v>
      </c>
      <c r="F11" s="153" t="n">
        <v>0.187286230484912</v>
      </c>
      <c r="G11" s="154" t="n">
        <v>0.7018333472111191</v>
      </c>
      <c r="H11" s="154" t="n">
        <v>0.7641458754245853</v>
      </c>
      <c r="I11" s="153" t="n">
        <v>0.07395071026953093</v>
      </c>
      <c r="J11" s="153" t="n">
        <v>0.429610711486707</v>
      </c>
      <c r="K11" s="153" t="n">
        <v>0.050855</v>
      </c>
      <c r="L11" s="153" t="n">
        <v>0.1461578752429545</v>
      </c>
      <c r="M11" s="153" t="n">
        <v>0.0687168756429393</v>
      </c>
      <c r="N11" s="154" t="n">
        <v>1.693199050511093</v>
      </c>
      <c r="O11" s="154" t="n">
        <v>4.164625625009446</v>
      </c>
      <c r="P11" s="154" t="n">
        <v>18.0675169183527</v>
      </c>
      <c r="Q11" s="154" t="n">
        <v>21.46725363552388</v>
      </c>
      <c r="R11" s="154" t="n">
        <v>7.4226028259445</v>
      </c>
      <c r="S11" s="154" t="n">
        <v>33.67306525553318</v>
      </c>
      <c r="T11" s="153" t="n">
        <v>-0.07141616874567232</v>
      </c>
      <c r="U11" s="153" t="n">
        <v>0.0465383125685219</v>
      </c>
      <c r="V11" s="153" t="n">
        <v>0.02386992815326883</v>
      </c>
      <c r="W11" s="153" t="n">
        <v>0.2567645557175948</v>
      </c>
      <c r="X11" s="153" t="n">
        <v>0.3055735367983045</v>
      </c>
      <c r="Y11" s="153" t="n">
        <v>0.6638966866591276</v>
      </c>
      <c r="Z11" s="153" t="n">
        <v>0.6638966866591276</v>
      </c>
      <c r="AA11" s="155" t="n">
        <v>0.1939726828971502</v>
      </c>
    </row>
    <row r="12" ht="14" customHeight="1">
      <c r="A12" s="152" t="inlineStr">
        <is>
          <t>Broadcasting</t>
        </is>
      </c>
      <c r="B12" s="76" t="n">
        <v>22</v>
      </c>
      <c r="C12" s="153" t="n">
        <v>0.05484705882352942</v>
      </c>
      <c r="D12" s="153" t="n">
        <v>0.1177849815571386</v>
      </c>
      <c r="E12" s="153" t="n">
        <v>0.1206388892400257</v>
      </c>
      <c r="F12" s="153" t="n">
        <v>0.2627114978288718</v>
      </c>
      <c r="G12" s="154" t="n">
        <v>0.4997566745248037</v>
      </c>
      <c r="H12" s="154" t="n">
        <v>1.06092439990494</v>
      </c>
      <c r="I12" s="153" t="n">
        <v>0.08760252239562726</v>
      </c>
      <c r="J12" s="153" t="n">
        <v>0.3845713366707603</v>
      </c>
      <c r="K12" s="153" t="n">
        <v>0.050855</v>
      </c>
      <c r="L12" s="153" t="n">
        <v>0.6382079868292138</v>
      </c>
      <c r="M12" s="153" t="n">
        <v>0.05603594331400262</v>
      </c>
      <c r="N12" s="154" t="n">
        <v>1.11598938064725</v>
      </c>
      <c r="O12" s="154" t="n">
        <v>1.253301963384362</v>
      </c>
      <c r="P12" s="154" t="n">
        <v>7.309829643836126</v>
      </c>
      <c r="Q12" s="154" t="n">
        <v>10.67305755049441</v>
      </c>
      <c r="R12" s="154" t="n">
        <v>0.8010135128715571</v>
      </c>
      <c r="S12" s="154" t="n">
        <v>7.816781173533133</v>
      </c>
      <c r="T12" s="153" t="n">
        <v>0.1092295742744325</v>
      </c>
      <c r="U12" s="153" t="n">
        <v>0.02515001334455644</v>
      </c>
      <c r="V12" s="153" t="n">
        <v>-0.02061215244273817</v>
      </c>
      <c r="W12" s="153" t="n">
        <v>2.114366860108593</v>
      </c>
      <c r="X12" s="153" t="n">
        <v>-0.02156514905857028</v>
      </c>
      <c r="Y12" s="153" t="n">
        <v>0.002195875973912941</v>
      </c>
      <c r="Z12" s="153" t="n">
        <v>0.002195875973912909</v>
      </c>
      <c r="AA12" s="155" t="n">
        <v>0.117315124510232</v>
      </c>
    </row>
    <row r="13" ht="14" customHeight="1">
      <c r="A13" s="152" t="inlineStr">
        <is>
          <t>Brokerage &amp; Investment Banking</t>
        </is>
      </c>
      <c r="B13" s="76" t="n">
        <v>27</v>
      </c>
      <c r="C13" s="153" t="n">
        <v>0.1278747368421053</v>
      </c>
      <c r="D13" s="153" t="n">
        <v>0.007705853109232633</v>
      </c>
      <c r="E13" s="153" t="n">
        <v>0.001307446941021954</v>
      </c>
      <c r="F13" s="153" t="n">
        <v>0.2104666512745177</v>
      </c>
      <c r="G13" s="154" t="n">
        <v>0.550778221499521</v>
      </c>
      <c r="H13" s="154" t="n">
        <v>1.120326193984736</v>
      </c>
      <c r="I13" s="153" t="n">
        <v>0.09033500492329785</v>
      </c>
      <c r="J13" s="153" t="n">
        <v>0.2521373242821064</v>
      </c>
      <c r="K13" s="153" t="n">
        <v>0.050855</v>
      </c>
      <c r="L13" s="153" t="n">
        <v>0.6933076588770894</v>
      </c>
      <c r="M13" s="153" t="n">
        <v>0.05414867488942166</v>
      </c>
      <c r="N13" s="154" t="n">
        <v>0.2794992243703733</v>
      </c>
      <c r="O13" s="154" t="n">
        <v>5.609753546935761</v>
      </c>
      <c r="P13" s="154" t="inlineStr">
        <is>
          <t>NA</t>
        </is>
      </c>
      <c r="Q13" s="154" t="inlineStr">
        <is>
          <t>NA</t>
        </is>
      </c>
      <c r="R13" s="154" t="n">
        <v>1.656541310841618</v>
      </c>
      <c r="S13" s="154" t="n">
        <v>222.1851464865277</v>
      </c>
      <c r="T13" s="153" t="inlineStr">
        <is>
          <t>NA</t>
        </is>
      </c>
      <c r="U13" s="153" t="n">
        <v>0.03412584763467917</v>
      </c>
      <c r="V13" s="153" t="n">
        <v>0.01676616279134815</v>
      </c>
      <c r="W13" s="153" t="n">
        <v>56.43365588996486</v>
      </c>
      <c r="X13" s="153" t="n">
        <v>0.1041311083201496</v>
      </c>
      <c r="Y13" s="153" t="n">
        <v>0.4352511082051424</v>
      </c>
      <c r="Z13" s="153" t="n">
        <v>0.4352511082051425</v>
      </c>
      <c r="AA13" s="155" t="n">
        <v>0.005793247441842606</v>
      </c>
    </row>
    <row r="14" ht="14" customHeight="1">
      <c r="A14" s="152" t="inlineStr">
        <is>
          <t>Building Materials</t>
        </is>
      </c>
      <c r="B14" s="76" t="n">
        <v>44</v>
      </c>
      <c r="C14" s="153" t="n">
        <v>0.06407764705882352</v>
      </c>
      <c r="D14" s="153" t="n">
        <v>0.1354966883987537</v>
      </c>
      <c r="E14" s="153" t="n">
        <v>0.252670574449478</v>
      </c>
      <c r="F14" s="153" t="n">
        <v>0.2474910374499722</v>
      </c>
      <c r="G14" s="154" t="n">
        <v>1.209047186578655</v>
      </c>
      <c r="H14" s="154" t="n">
        <v>1.317798530524935</v>
      </c>
      <c r="I14" s="153" t="n">
        <v>0.09941873240414702</v>
      </c>
      <c r="J14" s="153" t="n">
        <v>0.2871587984026847</v>
      </c>
      <c r="K14" s="153" t="n">
        <v>0.050855</v>
      </c>
      <c r="L14" s="153" t="n">
        <v>0.1536112314480344</v>
      </c>
      <c r="M14" s="153" t="n">
        <v>0.09000582287201073</v>
      </c>
      <c r="N14" s="154" t="n">
        <v>2.288218658680442</v>
      </c>
      <c r="O14" s="154" t="n">
        <v>2.110936521592126</v>
      </c>
      <c r="P14" s="154" t="n">
        <v>12.01046880376778</v>
      </c>
      <c r="Q14" s="154" t="n">
        <v>15.39424362371289</v>
      </c>
      <c r="R14" s="154" t="n">
        <v>4.735200284670956</v>
      </c>
      <c r="S14" s="154" t="n">
        <v>24.84788931563107</v>
      </c>
      <c r="T14" s="153" t="n">
        <v>0.1835621131134187</v>
      </c>
      <c r="U14" s="153" t="n">
        <v>0.03251273384820363</v>
      </c>
      <c r="V14" s="153" t="n">
        <v>0.02451312577392343</v>
      </c>
      <c r="W14" s="153" t="n">
        <v>-0.00761665449252251</v>
      </c>
      <c r="X14" s="153" t="n">
        <v>0.2135465060520658</v>
      </c>
      <c r="Y14" s="153" t="n">
        <v>0.2901940579761685</v>
      </c>
      <c r="Z14" s="153" t="n">
        <v>0.2901940579761685</v>
      </c>
      <c r="AA14" s="155" t="n">
        <v>0.1377325895046617</v>
      </c>
    </row>
    <row r="15" ht="14" customHeight="1">
      <c r="A15" s="152" t="inlineStr">
        <is>
          <t>Business &amp; Consumer Services</t>
        </is>
      </c>
      <c r="B15" s="76" t="n">
        <v>162</v>
      </c>
      <c r="C15" s="153" t="n">
        <v>0.06692426966292138</v>
      </c>
      <c r="D15" s="153" t="n">
        <v>0.1109878817085405</v>
      </c>
      <c r="E15" s="153" t="n">
        <v>0.2745235997442815</v>
      </c>
      <c r="F15" s="153" t="n">
        <v>0.2424251276606072</v>
      </c>
      <c r="G15" s="154" t="n">
        <v>0.9296426574330118</v>
      </c>
      <c r="H15" s="154" t="n">
        <v>1.022101721640971</v>
      </c>
      <c r="I15" s="153" t="n">
        <v>0.08581667919548466</v>
      </c>
      <c r="J15" s="153" t="n">
        <v>0.4129005499446838</v>
      </c>
      <c r="K15" s="153" t="n">
        <v>0.050855</v>
      </c>
      <c r="L15" s="153" t="n">
        <v>0.1521060653553106</v>
      </c>
      <c r="M15" s="153" t="n">
        <v>0.07856495724643378</v>
      </c>
      <c r="N15" s="154" t="n">
        <v>2.721892729960434</v>
      </c>
      <c r="O15" s="154" t="n">
        <v>2.681998782938528</v>
      </c>
      <c r="P15" s="154" t="n">
        <v>16.12337791267712</v>
      </c>
      <c r="Q15" s="154" t="n">
        <v>23.4934396998585</v>
      </c>
      <c r="R15" s="154" t="n">
        <v>5.535512057561694</v>
      </c>
      <c r="S15" s="154" t="n">
        <v>86.89938236196181</v>
      </c>
      <c r="T15" s="153" t="n">
        <v>0.1348442517919118</v>
      </c>
      <c r="U15" s="153" t="n">
        <v>0.02984844927290868</v>
      </c>
      <c r="V15" s="153" t="n">
        <v>0.01694012124003844</v>
      </c>
      <c r="W15" s="153" t="n">
        <v>0.2544682103316714</v>
      </c>
      <c r="X15" s="153" t="n">
        <v>0.1399754737551486</v>
      </c>
      <c r="Y15" s="153" t="n">
        <v>0.5978300778071928</v>
      </c>
      <c r="Z15" s="153" t="n">
        <v>0.5978300778071928</v>
      </c>
      <c r="AA15" s="155" t="n">
        <v>0.1130735879159541</v>
      </c>
    </row>
    <row r="16" ht="14" customHeight="1">
      <c r="A16" s="152" t="inlineStr">
        <is>
          <t>Cable TV</t>
        </is>
      </c>
      <c r="B16" s="76" t="n">
        <v>10</v>
      </c>
      <c r="C16" s="153" t="n">
        <v>0.1623166666666667</v>
      </c>
      <c r="D16" s="153" t="n">
        <v>0.1946508192475575</v>
      </c>
      <c r="E16" s="153" t="n">
        <v>0.1131187216356339</v>
      </c>
      <c r="F16" s="153" t="n">
        <v>0.2555517666975476</v>
      </c>
      <c r="G16" s="154" t="n">
        <v>0.7356295403207628</v>
      </c>
      <c r="H16" s="154" t="n">
        <v>1.276798315898027</v>
      </c>
      <c r="I16" s="153" t="n">
        <v>0.09753272253130923</v>
      </c>
      <c r="J16" s="153" t="n">
        <v>0.3300530419558696</v>
      </c>
      <c r="K16" s="153" t="n">
        <v>0.050855</v>
      </c>
      <c r="L16" s="153" t="n">
        <v>0.5042600346325823</v>
      </c>
      <c r="M16" s="153" t="n">
        <v>0.06758397653579118</v>
      </c>
      <c r="N16" s="154" t="n">
        <v>0.7767223693225921</v>
      </c>
      <c r="O16" s="154" t="n">
        <v>2.546585383581608</v>
      </c>
      <c r="P16" s="154" t="n">
        <v>7.80087236104986</v>
      </c>
      <c r="Q16" s="154" t="n">
        <v>13.34895594259788</v>
      </c>
      <c r="R16" s="154" t="n">
        <v>2.063094529414669</v>
      </c>
      <c r="S16" s="154" t="n">
        <v>16.12065991866249</v>
      </c>
      <c r="T16" s="153" t="n">
        <v>-0.0009774119231043619</v>
      </c>
      <c r="U16" s="153" t="n">
        <v>0.1407935380647583</v>
      </c>
      <c r="V16" s="153" t="n">
        <v>0.01651264132776128</v>
      </c>
      <c r="W16" s="153" t="n">
        <v>0.1576736677844264</v>
      </c>
      <c r="X16" s="153" t="n">
        <v>0.1946677114082163</v>
      </c>
      <c r="Y16" s="153" t="n">
        <v>0.2192706729166754</v>
      </c>
      <c r="Z16" s="153" t="n">
        <v>0.2192706729166755</v>
      </c>
      <c r="AA16" s="155" t="n">
        <v>0.1908779508566356</v>
      </c>
    </row>
    <row r="17" ht="14" customHeight="1">
      <c r="A17" s="152" t="inlineStr">
        <is>
          <t>Chemical (Basic)</t>
        </is>
      </c>
      <c r="B17" s="76" t="n">
        <v>32</v>
      </c>
      <c r="C17" s="153" t="n">
        <v>0.113161</v>
      </c>
      <c r="D17" s="153" t="n">
        <v>0.07880938244885832</v>
      </c>
      <c r="E17" s="153" t="n">
        <v>0.1180893152355921</v>
      </c>
      <c r="F17" s="153" t="n">
        <v>0.2397130800856499</v>
      </c>
      <c r="G17" s="154" t="n">
        <v>0.8746907847879827</v>
      </c>
      <c r="H17" s="154" t="n">
        <v>1.096267077331708</v>
      </c>
      <c r="I17" s="153" t="n">
        <v>0.08922828555725856</v>
      </c>
      <c r="J17" s="153" t="n">
        <v>0.389245235426506</v>
      </c>
      <c r="K17" s="153" t="n">
        <v>0.050855</v>
      </c>
      <c r="L17" s="153" t="n">
        <v>0.3135465767669908</v>
      </c>
      <c r="M17" s="153" t="n">
        <v>0.07321012044110661</v>
      </c>
      <c r="N17" s="154" t="n">
        <v>1.617512814158739</v>
      </c>
      <c r="O17" s="154" t="n">
        <v>1.14999857052991</v>
      </c>
      <c r="P17" s="154" t="n">
        <v>8.09953226998328</v>
      </c>
      <c r="Q17" s="154" t="n">
        <v>14.05606834124257</v>
      </c>
      <c r="R17" s="154" t="n">
        <v>1.975781339131658</v>
      </c>
      <c r="S17" s="154" t="n">
        <v>12.40799420177502</v>
      </c>
      <c r="T17" s="153" t="n">
        <v>0.1473917214944736</v>
      </c>
      <c r="U17" s="153" t="n">
        <v>0.05507532358895694</v>
      </c>
      <c r="V17" s="153" t="n">
        <v>0.03079349817527999</v>
      </c>
      <c r="W17" s="153" t="n">
        <v>0.173667004732125</v>
      </c>
      <c r="X17" s="153" t="n">
        <v>0.08894604157698592</v>
      </c>
      <c r="Y17" s="153" t="n">
        <v>1.312665721495244</v>
      </c>
      <c r="Z17" s="153" t="n">
        <v>1.312665721495244</v>
      </c>
      <c r="AA17" s="155" t="n">
        <v>0.08017253592667842</v>
      </c>
    </row>
    <row r="18" ht="14" customHeight="1">
      <c r="A18" s="152" t="inlineStr">
        <is>
          <t>Chemical (Diversified)</t>
        </is>
      </c>
      <c r="B18" s="76" t="n">
        <v>4</v>
      </c>
      <c r="C18" s="153" t="n">
        <v>-0.007550000000000004</v>
      </c>
      <c r="D18" s="153" t="n">
        <v>0.01523268889108321</v>
      </c>
      <c r="E18" s="153" t="n">
        <v>0.01572085253576362</v>
      </c>
      <c r="F18" s="153" t="n">
        <v>0.4429336629583849</v>
      </c>
      <c r="G18" s="154" t="n">
        <v>0.8134608576935285</v>
      </c>
      <c r="H18" s="154" t="n">
        <v>1.133279731139076</v>
      </c>
      <c r="I18" s="153" t="n">
        <v>0.09093086763239749</v>
      </c>
      <c r="J18" s="153" t="n">
        <v>0.3724227838443788</v>
      </c>
      <c r="K18" s="153" t="n">
        <v>0.050855</v>
      </c>
      <c r="L18" s="153" t="n">
        <v>0.4101286201966363</v>
      </c>
      <c r="M18" s="153" t="n">
        <v>0.06928033459211429</v>
      </c>
      <c r="N18" s="154" t="n">
        <v>1.278644725655791</v>
      </c>
      <c r="O18" s="154" t="n">
        <v>1.159713926647061</v>
      </c>
      <c r="P18" s="154" t="n">
        <v>15.3960638771332</v>
      </c>
      <c r="Q18" s="154" t="n">
        <v>73.61515917157838</v>
      </c>
      <c r="R18" s="154" t="n">
        <v>1.974604251062725</v>
      </c>
      <c r="S18" s="154" t="n">
        <v>30.52772981525084</v>
      </c>
      <c r="T18" s="153" t="n">
        <v>0.17621388838496</v>
      </c>
      <c r="U18" s="153" t="n">
        <v>0.04511777011805717</v>
      </c>
      <c r="V18" s="153" t="n">
        <v>-0.005790335432994922</v>
      </c>
      <c r="W18" s="153" t="n">
        <v>-5.556514170837235</v>
      </c>
      <c r="X18" s="153" t="n">
        <v>-0.02360500422508987</v>
      </c>
      <c r="Y18" s="153" t="n">
        <v>0.01037037037037037</v>
      </c>
      <c r="Z18" s="153" t="n">
        <v>0.01037037037037036</v>
      </c>
      <c r="AA18" s="155" t="n">
        <v>0.01463949683356835</v>
      </c>
    </row>
    <row r="19" ht="14" customHeight="1">
      <c r="A19" s="152" t="inlineStr">
        <is>
          <t>Chemical (Specialty)</t>
        </is>
      </c>
      <c r="B19" s="76" t="n">
        <v>68</v>
      </c>
      <c r="C19" s="153" t="n">
        <v>0.07331875000000002</v>
      </c>
      <c r="D19" s="153" t="n">
        <v>0.1309039074976271</v>
      </c>
      <c r="E19" s="153" t="n">
        <v>0.1350527564815223</v>
      </c>
      <c r="F19" s="153" t="n">
        <v>0.1826670021168713</v>
      </c>
      <c r="G19" s="154" t="n">
        <v>0.9381357434291198</v>
      </c>
      <c r="H19" s="154" t="n">
        <v>1.087383285279766</v>
      </c>
      <c r="I19" s="153" t="n">
        <v>0.08881963112286922</v>
      </c>
      <c r="J19" s="153" t="n">
        <v>0.3660053927775102</v>
      </c>
      <c r="K19" s="153" t="n">
        <v>0.050855</v>
      </c>
      <c r="L19" s="153" t="n">
        <v>0.2114885201384873</v>
      </c>
      <c r="M19" s="153" t="n">
        <v>0.07810173529617936</v>
      </c>
      <c r="N19" s="154" t="n">
        <v>1.15732408251221</v>
      </c>
      <c r="O19" s="154" t="n">
        <v>2.679141622537416</v>
      </c>
      <c r="P19" s="154" t="n">
        <v>12.84967814786451</v>
      </c>
      <c r="Q19" s="154" t="n">
        <v>19.99555542435195</v>
      </c>
      <c r="R19" s="154" t="n">
        <v>2.67276074057165</v>
      </c>
      <c r="S19" s="154" t="n">
        <v>60.90113443589762</v>
      </c>
      <c r="T19" s="153" t="n">
        <v>0.2274776588650566</v>
      </c>
      <c r="U19" s="153" t="n">
        <v>0.08458782491964281</v>
      </c>
      <c r="V19" s="153" t="n">
        <v>0.09811517277754803</v>
      </c>
      <c r="W19" s="153" t="n">
        <v>1.034849679186649</v>
      </c>
      <c r="X19" s="153" t="n">
        <v>0.1494327338476946</v>
      </c>
      <c r="Y19" s="153" t="n">
        <v>0.3324992721075489</v>
      </c>
      <c r="Z19" s="153" t="n">
        <v>0.3324992721075488</v>
      </c>
      <c r="AA19" s="155" t="n">
        <v>0.1304736636407548</v>
      </c>
    </row>
    <row r="20" ht="14" customHeight="1">
      <c r="A20" s="152" t="inlineStr">
        <is>
          <t>Coal &amp; Related Energy</t>
        </is>
      </c>
      <c r="B20" s="76" t="n">
        <v>18</v>
      </c>
      <c r="C20" s="153" t="n">
        <v>0.05559999999999999</v>
      </c>
      <c r="D20" s="153" t="n">
        <v>0.2050975911873294</v>
      </c>
      <c r="E20" s="153" t="n">
        <v>0.2949755099256479</v>
      </c>
      <c r="F20" s="153" t="n">
        <v>0.1312606386733917</v>
      </c>
      <c r="G20" s="154" t="n">
        <v>1.242725028312513</v>
      </c>
      <c r="H20" s="154" t="n">
        <v>1.270758082514545</v>
      </c>
      <c r="I20" s="153" t="n">
        <v>0.09725487179566905</v>
      </c>
      <c r="J20" s="153" t="n">
        <v>0.5569225989970031</v>
      </c>
      <c r="K20" s="153" t="n">
        <v>0.053524</v>
      </c>
      <c r="L20" s="153" t="n">
        <v>0.1839681585158985</v>
      </c>
      <c r="M20" s="153" t="n">
        <v>0.08674810591202373</v>
      </c>
      <c r="N20" s="154" t="n">
        <v>1.473952094347047</v>
      </c>
      <c r="O20" s="154" t="n">
        <v>1.329263856564374</v>
      </c>
      <c r="P20" s="154" t="n">
        <v>2.752899093023886</v>
      </c>
      <c r="Q20" s="154" t="n">
        <v>4.036828154446029</v>
      </c>
      <c r="R20" s="154" t="n">
        <v>1.790144027463959</v>
      </c>
      <c r="S20" s="154" t="n">
        <v>91.91242298375973</v>
      </c>
      <c r="T20" s="153" t="n">
        <v>0.06130078289418305</v>
      </c>
      <c r="U20" s="153" t="n">
        <v>0.09304611980325424</v>
      </c>
      <c r="V20" s="153" t="n">
        <v>0.01594012001972265</v>
      </c>
      <c r="W20" s="153" t="n">
        <v>0.1328366453989968</v>
      </c>
      <c r="X20" s="153" t="n">
        <v>0.2906921595832035</v>
      </c>
      <c r="Y20" s="153" t="n">
        <v>0.151556659483021</v>
      </c>
      <c r="Z20" s="153" t="n">
        <v>0.151556659483021</v>
      </c>
      <c r="AA20" s="155" t="n">
        <v>0.2055288408959451</v>
      </c>
    </row>
    <row r="21" ht="14" customHeight="1">
      <c r="A21" s="152" t="inlineStr">
        <is>
          <t>Computer Services</t>
        </is>
      </c>
      <c r="B21" s="76" t="n">
        <v>72</v>
      </c>
      <c r="C21" s="153" t="n">
        <v>0.1092647368421053</v>
      </c>
      <c r="D21" s="153" t="n">
        <v>0.06978175075516928</v>
      </c>
      <c r="E21" s="153" t="n">
        <v>0.2416741108633085</v>
      </c>
      <c r="F21" s="153" t="n">
        <v>0.1885968121844327</v>
      </c>
      <c r="G21" s="154" t="n">
        <v>0.8586975071173775</v>
      </c>
      <c r="H21" s="154" t="n">
        <v>0.9973235378280684</v>
      </c>
      <c r="I21" s="153" t="n">
        <v>0.08467688274009114</v>
      </c>
      <c r="J21" s="153" t="n">
        <v>0.4961277270227463</v>
      </c>
      <c r="K21" s="153" t="n">
        <v>0.050855</v>
      </c>
      <c r="L21" s="153" t="n">
        <v>0.2256603572996553</v>
      </c>
      <c r="M21" s="153" t="n">
        <v>0.07417563522879664</v>
      </c>
      <c r="N21" s="154" t="n">
        <v>3.586752140343538</v>
      </c>
      <c r="O21" s="154" t="n">
        <v>1.374220668174326</v>
      </c>
      <c r="P21" s="154" t="n">
        <v>12.61091095967175</v>
      </c>
      <c r="Q21" s="154" t="n">
        <v>18.86294317155709</v>
      </c>
      <c r="R21" s="154" t="n">
        <v>4.374578039057352</v>
      </c>
      <c r="S21" s="154" t="n">
        <v>76.13219981553276</v>
      </c>
      <c r="T21" s="153" t="n">
        <v>0.1385312172798853</v>
      </c>
      <c r="U21" s="153" t="n">
        <v>0.01232575000942342</v>
      </c>
      <c r="V21" s="153" t="n">
        <v>0.008234391003302918</v>
      </c>
      <c r="W21" s="153" t="n">
        <v>0.2379558857191895</v>
      </c>
      <c r="X21" s="153" t="n">
        <v>0.18772570752648</v>
      </c>
      <c r="Y21" s="153" t="n">
        <v>0.5707264443402909</v>
      </c>
      <c r="Z21" s="153" t="n">
        <v>0.5707264443402909</v>
      </c>
      <c r="AA21" s="155" t="n">
        <v>0.07303438673884674</v>
      </c>
    </row>
    <row r="22" ht="14" customHeight="1">
      <c r="A22" s="152" t="inlineStr">
        <is>
          <t>Computers/Peripherals</t>
        </is>
      </c>
      <c r="B22" s="76" t="n">
        <v>36</v>
      </c>
      <c r="C22" s="153" t="n">
        <v>0.02311814814814814</v>
      </c>
      <c r="D22" s="153" t="n">
        <v>0.2106389994933557</v>
      </c>
      <c r="E22" s="153" t="n">
        <v>0.3779819712463217</v>
      </c>
      <c r="F22" s="153" t="n">
        <v>0.146118607992441</v>
      </c>
      <c r="G22" s="154" t="n">
        <v>1.100354380748361</v>
      </c>
      <c r="H22" s="154" t="n">
        <v>1.132922365029435</v>
      </c>
      <c r="I22" s="153" t="n">
        <v>0.09091442879135403</v>
      </c>
      <c r="J22" s="153" t="n">
        <v>0.3889816453127679</v>
      </c>
      <c r="K22" s="153" t="n">
        <v>0.050855</v>
      </c>
      <c r="L22" s="153" t="n">
        <v>0.05741744674704877</v>
      </c>
      <c r="M22" s="153" t="n">
        <v>0.08788432760842899</v>
      </c>
      <c r="N22" s="154" t="n">
        <v>1.922787109314276</v>
      </c>
      <c r="O22" s="154" t="n">
        <v>5.51173057328121</v>
      </c>
      <c r="P22" s="154" t="n">
        <v>21.83163228069749</v>
      </c>
      <c r="Q22" s="154" t="n">
        <v>25.97141940971779</v>
      </c>
      <c r="R22" s="154" t="n">
        <v>30.98288003340867</v>
      </c>
      <c r="S22" s="154" t="n">
        <v>31.8333907798934</v>
      </c>
      <c r="T22" s="153" t="n">
        <v>-0.09869344487486884</v>
      </c>
      <c r="U22" s="153" t="n">
        <v>0.0305976596426454</v>
      </c>
      <c r="V22" s="153" t="n">
        <v>0.00900470133952177</v>
      </c>
      <c r="W22" s="153" t="n">
        <v>0.092441186690531</v>
      </c>
      <c r="X22" s="153" t="n">
        <v>-1.234289008499134e-05</v>
      </c>
      <c r="Y22" s="153" t="n">
        <v>0.1744389939206699</v>
      </c>
      <c r="Z22" s="153" t="n">
        <v>0.1744389939206699</v>
      </c>
      <c r="AA22" s="155" t="n">
        <v>0.2148311734272625</v>
      </c>
    </row>
    <row r="23" ht="14" customHeight="1">
      <c r="A23" s="152" t="inlineStr">
        <is>
          <t>Construction Supplies</t>
        </is>
      </c>
      <c r="B23" s="76" t="n">
        <v>11</v>
      </c>
      <c r="C23" s="153" t="n">
        <v>0.09321428571428571</v>
      </c>
      <c r="D23" s="153" t="n">
        <v>0.1904280592276323</v>
      </c>
      <c r="E23" s="153" t="n">
        <v>0.1691718460044971</v>
      </c>
      <c r="F23" s="153" t="n">
        <v>0.2058765471603728</v>
      </c>
      <c r="G23" s="154" t="n">
        <v>0.8504570207061257</v>
      </c>
      <c r="H23" s="154" t="n">
        <v>0.937816218287774</v>
      </c>
      <c r="I23" s="153" t="n">
        <v>0.0819395460412376</v>
      </c>
      <c r="J23" s="153" t="n">
        <v>0.3029708367740568</v>
      </c>
      <c r="K23" s="153" t="n">
        <v>0.050855</v>
      </c>
      <c r="L23" s="153" t="n">
        <v>0.1398416250113824</v>
      </c>
      <c r="M23" s="153" t="n">
        <v>0.07581472115010134</v>
      </c>
      <c r="N23" s="154" t="n">
        <v>1.050434460013563</v>
      </c>
      <c r="O23" s="154" t="n">
        <v>4.096065196418976</v>
      </c>
      <c r="P23" s="154" t="n">
        <v>14.93713186862622</v>
      </c>
      <c r="Q23" s="154" t="n">
        <v>21.86743013110449</v>
      </c>
      <c r="R23" s="154" t="n">
        <v>3.767812912041809</v>
      </c>
      <c r="S23" s="154" t="n">
        <v>63.09784889917769</v>
      </c>
      <c r="T23" s="153" t="n">
        <v>0.229043161726469</v>
      </c>
      <c r="U23" s="153" t="n">
        <v>0.09466841831568</v>
      </c>
      <c r="V23" s="153" t="n">
        <v>0.03454452564067476</v>
      </c>
      <c r="W23" s="153" t="n">
        <v>0.3964811143324461</v>
      </c>
      <c r="X23" s="153" t="n">
        <v>0.1720397075859865</v>
      </c>
      <c r="Y23" s="153" t="n">
        <v>0.1519330977961428</v>
      </c>
      <c r="Z23" s="153" t="n">
        <v>0.1519330977961428</v>
      </c>
      <c r="AA23" s="155" t="n">
        <v>0.1871410218961957</v>
      </c>
    </row>
    <row r="24" ht="14" customHeight="1">
      <c r="A24" s="152" t="inlineStr">
        <is>
          <t>Diversified</t>
        </is>
      </c>
      <c r="B24" s="76" t="n">
        <v>23</v>
      </c>
      <c r="C24" s="153" t="n">
        <v>0.06940636363636364</v>
      </c>
      <c r="D24" s="153" t="n">
        <v>0.2293174851638623</v>
      </c>
      <c r="E24" s="153" t="n">
        <v>0.2039519773761344</v>
      </c>
      <c r="F24" s="153" t="n">
        <v>0.1765183624126077</v>
      </c>
      <c r="G24" s="154" t="n">
        <v>1.092348615203383</v>
      </c>
      <c r="H24" s="154" t="n">
        <v>1.194854444521056</v>
      </c>
      <c r="I24" s="153" t="n">
        <v>0.0937633044479686</v>
      </c>
      <c r="J24" s="153" t="n">
        <v>0.5225050340018127</v>
      </c>
      <c r="K24" s="153" t="n">
        <v>0.053524</v>
      </c>
      <c r="L24" s="153" t="n">
        <v>0.1607420785589129</v>
      </c>
      <c r="M24" s="153" t="n">
        <v>0.08514426525804041</v>
      </c>
      <c r="N24" s="154" t="n">
        <v>0.9331386227471588</v>
      </c>
      <c r="O24" s="154" t="n">
        <v>2.428533353133472</v>
      </c>
      <c r="P24" s="154" t="n">
        <v>8.934637168196366</v>
      </c>
      <c r="Q24" s="154" t="n">
        <v>10.51049686001676</v>
      </c>
      <c r="R24" s="154" t="n">
        <v>1.873258587171897</v>
      </c>
      <c r="S24" s="154" t="n">
        <v>13.80000882006809</v>
      </c>
      <c r="T24" s="153" t="n">
        <v>0.05002077101846478</v>
      </c>
      <c r="U24" s="153" t="n">
        <v>0.04483024892964029</v>
      </c>
      <c r="V24" s="153" t="n">
        <v>0.04610103037760269</v>
      </c>
      <c r="W24" s="153" t="n">
        <v>0.2508042062082803</v>
      </c>
      <c r="X24" s="153" t="n">
        <v>0.1586771090098509</v>
      </c>
      <c r="Y24" s="153" t="n">
        <v>0.08160540712757532</v>
      </c>
      <c r="Z24" s="153" t="n">
        <v>0.08160540712757536</v>
      </c>
      <c r="AA24" s="155" t="n">
        <v>0.2306835728881212</v>
      </c>
    </row>
    <row r="25" ht="14" customHeight="1">
      <c r="A25" s="152" t="inlineStr">
        <is>
          <t>Drugs (Biotechnology)</t>
        </is>
      </c>
      <c r="B25" s="76" t="n">
        <v>572</v>
      </c>
      <c r="C25" s="153" t="n">
        <v>0.1895085119047619</v>
      </c>
      <c r="D25" s="153" t="n">
        <v>0.01077212579389857</v>
      </c>
      <c r="E25" s="153" t="n">
        <v>0.01555157914438157</v>
      </c>
      <c r="F25" s="153" t="n">
        <v>0.1641411907534482</v>
      </c>
      <c r="G25" s="154" t="n">
        <v>1.089096469625617</v>
      </c>
      <c r="H25" s="154" t="n">
        <v>1.123354743949236</v>
      </c>
      <c r="I25" s="153" t="n">
        <v>0.09047431822166487</v>
      </c>
      <c r="J25" s="153" t="n">
        <v>0.6198094773831897</v>
      </c>
      <c r="K25" s="153" t="n">
        <v>0.053524</v>
      </c>
      <c r="L25" s="153" t="n">
        <v>0.1408226760402434</v>
      </c>
      <c r="M25" s="153" t="n">
        <v>0.08338652730105696</v>
      </c>
      <c r="N25" s="154" t="n">
        <v>0.4068119342831036</v>
      </c>
      <c r="O25" s="154" t="n">
        <v>6.888047035213811</v>
      </c>
      <c r="P25" s="154" t="n">
        <v>13.51981680006926</v>
      </c>
      <c r="Q25" s="154" t="inlineStr">
        <is>
          <t>NA</t>
        </is>
      </c>
      <c r="R25" s="154" t="n">
        <v>6.135291677851848</v>
      </c>
      <c r="S25" s="154" t="n">
        <v>30.39160538678691</v>
      </c>
      <c r="T25" s="153" t="n">
        <v>0.09981041747914851</v>
      </c>
      <c r="U25" s="153" t="n">
        <v>0.03823100547201804</v>
      </c>
      <c r="V25" s="153" t="n">
        <v>0.03468871974612317</v>
      </c>
      <c r="W25" s="153" t="inlineStr">
        <is>
          <t>NA</t>
        </is>
      </c>
      <c r="X25" s="153" t="n">
        <v>-0.1159004022748153</v>
      </c>
      <c r="Y25" s="153" t="n">
        <v>0.0008849667367975925</v>
      </c>
      <c r="Z25" s="153" t="n">
        <v>0.00088496673679761</v>
      </c>
      <c r="AA25" s="155" t="n">
        <v>0.03830299416528875</v>
      </c>
    </row>
    <row r="26" ht="14" customHeight="1">
      <c r="A26" s="152" t="inlineStr">
        <is>
          <t>Drugs (Pharmaceutical)</t>
        </is>
      </c>
      <c r="B26" s="76" t="n">
        <v>245</v>
      </c>
      <c r="C26" s="153" t="n">
        <v>0.4153766666666667</v>
      </c>
      <c r="D26" s="153" t="n">
        <v>0.1816047184019137</v>
      </c>
      <c r="E26" s="153" t="n">
        <v>0.1337527062215693</v>
      </c>
      <c r="F26" s="153" t="n">
        <v>0.1492467940296821</v>
      </c>
      <c r="G26" s="154" t="n">
        <v>0.9439976867785511</v>
      </c>
      <c r="H26" s="154" t="n">
        <v>1.026961962493347</v>
      </c>
      <c r="I26" s="153" t="n">
        <v>0.08604025027469395</v>
      </c>
      <c r="J26" s="153" t="n">
        <v>0.6530341383257241</v>
      </c>
      <c r="K26" s="153" t="n">
        <v>0.060879</v>
      </c>
      <c r="L26" s="153" t="n">
        <v>0.1382882750021232</v>
      </c>
      <c r="M26" s="153" t="n">
        <v>0.08045603140384625</v>
      </c>
      <c r="N26" s="154" t="n">
        <v>0.6429618194294369</v>
      </c>
      <c r="O26" s="154" t="n">
        <v>5.079239809938446</v>
      </c>
      <c r="P26" s="154" t="n">
        <v>16.61797411690563</v>
      </c>
      <c r="Q26" s="154" t="n">
        <v>27.42848036358557</v>
      </c>
      <c r="R26" s="154" t="n">
        <v>5.195108293113011</v>
      </c>
      <c r="S26" s="154" t="n">
        <v>57.62587734954958</v>
      </c>
      <c r="T26" s="153" t="n">
        <v>0.2236912141528523</v>
      </c>
      <c r="U26" s="153" t="n">
        <v>0.05305346359441335</v>
      </c>
      <c r="V26" s="153" t="n">
        <v>0.1297351632612678</v>
      </c>
      <c r="W26" s="153" t="n">
        <v>0.8539263175436763</v>
      </c>
      <c r="X26" s="153" t="n">
        <v>0.1732080810795225</v>
      </c>
      <c r="Y26" s="153" t="n">
        <v>0.6995836180254923</v>
      </c>
      <c r="Z26" s="153" t="n">
        <v>0.6995836180254923</v>
      </c>
      <c r="AA26" s="155" t="n">
        <v>0.2132730059099101</v>
      </c>
    </row>
    <row r="27" ht="14" customHeight="1">
      <c r="A27" s="152" t="inlineStr">
        <is>
          <t>Education</t>
        </is>
      </c>
      <c r="B27" s="76" t="n">
        <v>31</v>
      </c>
      <c r="C27" s="153" t="n">
        <v>0.04118187499999999</v>
      </c>
      <c r="D27" s="153" t="n">
        <v>0.05815213773071442</v>
      </c>
      <c r="E27" s="153" t="n">
        <v>0.05928030828162614</v>
      </c>
      <c r="F27" s="153" t="n">
        <v>0.3215618737875887</v>
      </c>
      <c r="G27" s="154" t="n">
        <v>1.146739430936378</v>
      </c>
      <c r="H27" s="154" t="n">
        <v>1.225185553114139</v>
      </c>
      <c r="I27" s="153" t="n">
        <v>0.0951585354432504</v>
      </c>
      <c r="J27" s="153" t="n">
        <v>0.4378130103659705</v>
      </c>
      <c r="K27" s="153" t="n">
        <v>0.050855</v>
      </c>
      <c r="L27" s="153" t="n">
        <v>0.1638310978698545</v>
      </c>
      <c r="M27" s="153" t="n">
        <v>0.0858173309715238</v>
      </c>
      <c r="N27" s="154" t="n">
        <v>1.289416892869889</v>
      </c>
      <c r="O27" s="154" t="n">
        <v>2.303871717201433</v>
      </c>
      <c r="P27" s="154" t="n">
        <v>10.79885515422891</v>
      </c>
      <c r="Q27" s="154" t="n">
        <v>31.74120806131489</v>
      </c>
      <c r="R27" s="154" t="n">
        <v>2.71602884918073</v>
      </c>
      <c r="S27" s="154" t="n">
        <v>34.57346986093771</v>
      </c>
      <c r="T27" s="153" t="n">
        <v>0.09076833645533934</v>
      </c>
      <c r="U27" s="153" t="n">
        <v>0.02924050168157691</v>
      </c>
      <c r="V27" s="153" t="n">
        <v>0.003324528881953833</v>
      </c>
      <c r="W27" s="153" t="n">
        <v>0.9750398020735855</v>
      </c>
      <c r="X27" s="153" t="n">
        <v>0.01674688053646749</v>
      </c>
      <c r="Y27" s="153" t="n">
        <v>0.3807880807684768</v>
      </c>
      <c r="Z27" s="153" t="n">
        <v>0.3807880807684767</v>
      </c>
      <c r="AA27" s="155" t="n">
        <v>0.05162998984685171</v>
      </c>
    </row>
    <row r="28" ht="14" customHeight="1">
      <c r="A28" s="152" t="inlineStr">
        <is>
          <t>Electrical Equipment</t>
        </is>
      </c>
      <c r="B28" s="76" t="n">
        <v>103</v>
      </c>
      <c r="C28" s="153" t="n">
        <v>0.1490782978723404</v>
      </c>
      <c r="D28" s="153" t="n">
        <v>0.09001062757621153</v>
      </c>
      <c r="E28" s="153" t="n">
        <v>0.132659643222666</v>
      </c>
      <c r="F28" s="153" t="n">
        <v>0.2167055446368342</v>
      </c>
      <c r="G28" s="154" t="n">
        <v>1.145843471951508</v>
      </c>
      <c r="H28" s="154" t="n">
        <v>1.24105435928584</v>
      </c>
      <c r="I28" s="153" t="n">
        <v>0.09588850052714862</v>
      </c>
      <c r="J28" s="153" t="n">
        <v>0.5442389893824032</v>
      </c>
      <c r="K28" s="153" t="n">
        <v>0.053524</v>
      </c>
      <c r="L28" s="153" t="n">
        <v>0.1761959479346925</v>
      </c>
      <c r="M28" s="153" t="n">
        <v>0.08606636921867376</v>
      </c>
      <c r="N28" s="154" t="n">
        <v>1.465976301339033</v>
      </c>
      <c r="O28" s="154" t="n">
        <v>2.975717978432906</v>
      </c>
      <c r="P28" s="154" t="n">
        <v>14.65455478487127</v>
      </c>
      <c r="Q28" s="154" t="n">
        <v>28.89201617695047</v>
      </c>
      <c r="R28" s="154" t="n">
        <v>2.923649000360128</v>
      </c>
      <c r="S28" s="154" t="n">
        <v>24.68870614432407</v>
      </c>
      <c r="T28" s="153" t="n">
        <v>0.28273149237543</v>
      </c>
      <c r="U28" s="153" t="n">
        <v>0.06163253029040514</v>
      </c>
      <c r="V28" s="153" t="n">
        <v>0.09817923934367007</v>
      </c>
      <c r="W28" s="153" t="n">
        <v>2.146399754476311</v>
      </c>
      <c r="X28" s="153" t="n">
        <v>0.2370323561863381</v>
      </c>
      <c r="Y28" s="153" t="n">
        <v>0.1717786634119435</v>
      </c>
      <c r="Z28" s="153" t="n">
        <v>0.1717786634119436</v>
      </c>
      <c r="AA28" s="155" t="n">
        <v>0.09571467640528439</v>
      </c>
    </row>
    <row r="29" ht="14" customHeight="1">
      <c r="A29" s="152" t="inlineStr">
        <is>
          <t>Electronics (Consumer &amp; Office)</t>
        </is>
      </c>
      <c r="B29" s="76" t="n">
        <v>13</v>
      </c>
      <c r="C29" s="153" t="n">
        <v>-0.06321</v>
      </c>
      <c r="D29" s="153" t="n">
        <v>-0.0007643401586021315</v>
      </c>
      <c r="E29" s="153" t="n">
        <v>0.009542635546224023</v>
      </c>
      <c r="F29" s="153" t="n">
        <v>0.6944234404536862</v>
      </c>
      <c r="G29" s="154" t="n">
        <v>1.302963609351669</v>
      </c>
      <c r="H29" s="154" t="n">
        <v>1.29517877665579</v>
      </c>
      <c r="I29" s="153" t="n">
        <v>0.09837822372616634</v>
      </c>
      <c r="J29" s="153" t="n">
        <v>0.3942415498208712</v>
      </c>
      <c r="K29" s="153" t="n">
        <v>0.050855</v>
      </c>
      <c r="L29" s="153" t="n">
        <v>0.154869819559718</v>
      </c>
      <c r="M29" s="153" t="n">
        <v>0.08904933447437148</v>
      </c>
      <c r="N29" s="154" t="n">
        <v>1.673215373716733</v>
      </c>
      <c r="O29" s="154" t="n">
        <v>0.8460734447976122</v>
      </c>
      <c r="P29" s="154" t="n">
        <v>19.14394169874833</v>
      </c>
      <c r="Q29" s="154" t="inlineStr">
        <is>
          <t>NA</t>
        </is>
      </c>
      <c r="R29" s="154" t="n">
        <v>1.903149045209493</v>
      </c>
      <c r="S29" s="154" t="n">
        <v>38.63288320991239</v>
      </c>
      <c r="T29" s="153" t="n">
        <v>0.1553354269652091</v>
      </c>
      <c r="U29" s="153" t="n">
        <v>0.01556809272838646</v>
      </c>
      <c r="V29" s="153" t="n">
        <v>-0.002207952820098003</v>
      </c>
      <c r="W29" s="153" t="inlineStr">
        <is>
          <t>NA</t>
        </is>
      </c>
      <c r="X29" s="153" t="n">
        <v>-0.06626800138724744</v>
      </c>
      <c r="Y29" s="153" t="n">
        <v>0</v>
      </c>
      <c r="Z29" s="153" t="n">
        <v>0</v>
      </c>
      <c r="AA29" s="155" t="n">
        <v>0.005672435482946352</v>
      </c>
    </row>
    <row r="30" ht="14" customHeight="1">
      <c r="A30" s="152" t="inlineStr">
        <is>
          <t>Electronics (General)</t>
        </is>
      </c>
      <c r="B30" s="76" t="n">
        <v>129</v>
      </c>
      <c r="C30" s="153" t="n">
        <v>0.1582396511627907</v>
      </c>
      <c r="D30" s="153" t="n">
        <v>0.09481660558440742</v>
      </c>
      <c r="E30" s="153" t="n">
        <v>0.1511438395305997</v>
      </c>
      <c r="F30" s="153" t="n">
        <v>0.2261328789482106</v>
      </c>
      <c r="G30" s="154" t="n">
        <v>0.8772051743933108</v>
      </c>
      <c r="H30" s="154" t="n">
        <v>0.9339545990672654</v>
      </c>
      <c r="I30" s="153" t="n">
        <v>0.08176191155709421</v>
      </c>
      <c r="J30" s="153" t="n">
        <v>0.4294264362055603</v>
      </c>
      <c r="K30" s="153" t="n">
        <v>0.050855</v>
      </c>
      <c r="L30" s="153" t="n">
        <v>0.1467384073482645</v>
      </c>
      <c r="M30" s="153" t="n">
        <v>0.07536108515272853</v>
      </c>
      <c r="N30" s="154" t="n">
        <v>1.676887924905268</v>
      </c>
      <c r="O30" s="154" t="n">
        <v>2.177011929576426</v>
      </c>
      <c r="P30" s="154" t="n">
        <v>13.58959984157685</v>
      </c>
      <c r="Q30" s="154" t="n">
        <v>22.10935635994248</v>
      </c>
      <c r="R30" s="154" t="n">
        <v>3.279017675641514</v>
      </c>
      <c r="S30" s="154" t="n">
        <v>102.2602762874735</v>
      </c>
      <c r="T30" s="153" t="n">
        <v>0.2401398659971392</v>
      </c>
      <c r="U30" s="153" t="n">
        <v>0.04063467322550578</v>
      </c>
      <c r="V30" s="153" t="n">
        <v>0.04116813973531535</v>
      </c>
      <c r="W30" s="153" t="n">
        <v>0.7043164107310471</v>
      </c>
      <c r="X30" s="153" t="n">
        <v>0.08797660106927524</v>
      </c>
      <c r="Y30" s="153" t="n">
        <v>0.2852688403156121</v>
      </c>
      <c r="Z30" s="153" t="n">
        <v>0.2852688403156121</v>
      </c>
      <c r="AA30" s="155" t="n">
        <v>0.09797018507091383</v>
      </c>
    </row>
    <row r="31" ht="14" customHeight="1">
      <c r="A31" s="152" t="inlineStr">
        <is>
          <t>Engineering/Construction</t>
        </is>
      </c>
      <c r="B31" s="76" t="n">
        <v>77</v>
      </c>
      <c r="C31" s="153" t="n">
        <v>0.06553666666666663</v>
      </c>
      <c r="D31" s="153" t="n">
        <v>0.1036018507631375</v>
      </c>
      <c r="E31" s="153" t="n">
        <v>0.1852835643108483</v>
      </c>
      <c r="F31" s="153" t="n">
        <v>0.2368733194672781</v>
      </c>
      <c r="G31" s="154" t="n">
        <v>0.9240395937027334</v>
      </c>
      <c r="H31" s="154" t="n">
        <v>1.058076139341617</v>
      </c>
      <c r="I31" s="153" t="n">
        <v>0.08747150240971441</v>
      </c>
      <c r="J31" s="153" t="n">
        <v>0.3658909364697781</v>
      </c>
      <c r="K31" s="153" t="n">
        <v>0.050855</v>
      </c>
      <c r="L31" s="153" t="n">
        <v>0.2110255357901748</v>
      </c>
      <c r="M31" s="153" t="n">
        <v>0.07706155946428986</v>
      </c>
      <c r="N31" s="154" t="n">
        <v>2.037850068990315</v>
      </c>
      <c r="O31" s="154" t="n">
        <v>1.571928833874223</v>
      </c>
      <c r="P31" s="154" t="n">
        <v>11.03689137980285</v>
      </c>
      <c r="Q31" s="154" t="n">
        <v>14.82056434767392</v>
      </c>
      <c r="R31" s="154" t="n">
        <v>3.746042941871613</v>
      </c>
      <c r="S31" s="154" t="n">
        <v>36.1424526688146</v>
      </c>
      <c r="T31" s="153" t="n">
        <v>0.1894488945698595</v>
      </c>
      <c r="U31" s="153" t="n">
        <v>0.03742076909590676</v>
      </c>
      <c r="V31" s="153" t="n">
        <v>0.02843340179394129</v>
      </c>
      <c r="W31" s="153" t="n">
        <v>0.666235510168566</v>
      </c>
      <c r="X31" s="153" t="n">
        <v>0.2124176339270395</v>
      </c>
      <c r="Y31" s="153" t="n">
        <v>0.2474936008483172</v>
      </c>
      <c r="Z31" s="153" t="n">
        <v>0.2474936008483172</v>
      </c>
      <c r="AA31" s="155" t="n">
        <v>0.1063818113934714</v>
      </c>
    </row>
    <row r="32" ht="14" customHeight="1">
      <c r="A32" s="152" t="inlineStr">
        <is>
          <t>Entertainment</t>
        </is>
      </c>
      <c r="B32" s="76" t="n">
        <v>98</v>
      </c>
      <c r="C32" s="153" t="n">
        <v>0.1546913793103448</v>
      </c>
      <c r="D32" s="153" t="n">
        <v>0.07006793583532164</v>
      </c>
      <c r="E32" s="153" t="n">
        <v>0.07557891173918209</v>
      </c>
      <c r="F32" s="153" t="n">
        <v>0.1999716003716245</v>
      </c>
      <c r="G32" s="154" t="n">
        <v>0.8657191928039559</v>
      </c>
      <c r="H32" s="154" t="n">
        <v>0.9945594291517039</v>
      </c>
      <c r="I32" s="153" t="n">
        <v>0.08454973374097838</v>
      </c>
      <c r="J32" s="153" t="n">
        <v>0.6118583017241714</v>
      </c>
      <c r="K32" s="153" t="n">
        <v>0.053524</v>
      </c>
      <c r="L32" s="153" t="n">
        <v>0.2232735925881039</v>
      </c>
      <c r="M32" s="153" t="n">
        <v>0.07463488276352676</v>
      </c>
      <c r="N32" s="154" t="n">
        <v>1.105934104413193</v>
      </c>
      <c r="O32" s="154" t="n">
        <v>3.067427254886166</v>
      </c>
      <c r="P32" s="154" t="n">
        <v>16.3723272692034</v>
      </c>
      <c r="Q32" s="154" t="n">
        <v>42.53339941887707</v>
      </c>
      <c r="R32" s="154" t="n">
        <v>2.592969156186322</v>
      </c>
      <c r="S32" s="154" t="n">
        <v>31.16832536468777</v>
      </c>
      <c r="T32" s="153" t="n">
        <v>0.03805434709557554</v>
      </c>
      <c r="U32" s="153" t="n">
        <v>0.04374501646020564</v>
      </c>
      <c r="V32" s="153" t="n">
        <v>-0.02257591732057464</v>
      </c>
      <c r="W32" s="153" t="n">
        <v>-0.2065061320951702</v>
      </c>
      <c r="X32" s="153" t="n">
        <v>-0.002727554381087072</v>
      </c>
      <c r="Y32" s="153" t="n">
        <v>0.003434652255614001</v>
      </c>
      <c r="Z32" s="153" t="n">
        <v>0.003434652255614012</v>
      </c>
      <c r="AA32" s="155" t="n">
        <v>0.07052565436421813</v>
      </c>
    </row>
    <row r="33" ht="14" customHeight="1">
      <c r="A33" s="152" t="inlineStr">
        <is>
          <t>Environmental &amp; Waste Services</t>
        </is>
      </c>
      <c r="B33" s="76" t="n">
        <v>57</v>
      </c>
      <c r="C33" s="153" t="n">
        <v>0.1338123076923077</v>
      </c>
      <c r="D33" s="153" t="n">
        <v>0.1355347224157655</v>
      </c>
      <c r="E33" s="153" t="n">
        <v>0.2994248396119106</v>
      </c>
      <c r="F33" s="153" t="n">
        <v>0.24029481031348</v>
      </c>
      <c r="G33" s="154" t="n">
        <v>0.7857301954805603</v>
      </c>
      <c r="H33" s="154" t="n">
        <v>0.9069990344697701</v>
      </c>
      <c r="I33" s="153" t="n">
        <v>0.08052195558560943</v>
      </c>
      <c r="J33" s="153" t="n">
        <v>0.4606641855124769</v>
      </c>
      <c r="K33" s="153" t="n">
        <v>0.050855</v>
      </c>
      <c r="L33" s="153" t="n">
        <v>0.1799690317643583</v>
      </c>
      <c r="M33" s="153" t="n">
        <v>0.07289474103587697</v>
      </c>
      <c r="N33" s="154" t="n">
        <v>2.290204497272854</v>
      </c>
      <c r="O33" s="154" t="n">
        <v>3.383388354050433</v>
      </c>
      <c r="P33" s="154" t="n">
        <v>15.00034560192311</v>
      </c>
      <c r="Q33" s="154" t="n">
        <v>24.25633903806445</v>
      </c>
      <c r="R33" s="154" t="n">
        <v>6.247640228043101</v>
      </c>
      <c r="S33" s="154" t="n">
        <v>31.27519103777274</v>
      </c>
      <c r="T33" s="153" t="n">
        <v>0.1018059159059052</v>
      </c>
      <c r="U33" s="153" t="n">
        <v>0.07838174216179752</v>
      </c>
      <c r="V33" s="153" t="n">
        <v>0.06484591372588196</v>
      </c>
      <c r="W33" s="153" t="n">
        <v>0.7009982439901342</v>
      </c>
      <c r="X33" s="153" t="n">
        <v>0.2101163487107984</v>
      </c>
      <c r="Y33" s="153" t="n">
        <v>0.3634221878468773</v>
      </c>
      <c r="Z33" s="153" t="n">
        <v>0.3634221878468773</v>
      </c>
      <c r="AA33" s="155" t="n">
        <v>0.1382231740191932</v>
      </c>
    </row>
    <row r="34" ht="14" customHeight="1">
      <c r="A34" s="152" t="inlineStr">
        <is>
          <t>Farming/Agriculture</t>
        </is>
      </c>
      <c r="B34" s="76" t="n">
        <v>42</v>
      </c>
      <c r="C34" s="153" t="n">
        <v>0.2138380952380952</v>
      </c>
      <c r="D34" s="153" t="n">
        <v>0.1017867183533354</v>
      </c>
      <c r="E34" s="153" t="n">
        <v>0.1793058829306725</v>
      </c>
      <c r="F34" s="153" t="n">
        <v>0.2090621886077397</v>
      </c>
      <c r="G34" s="154" t="n">
        <v>0.7692133353509856</v>
      </c>
      <c r="H34" s="154" t="n">
        <v>0.9916245080726602</v>
      </c>
      <c r="I34" s="153" t="n">
        <v>0.08441472737134237</v>
      </c>
      <c r="J34" s="153" t="n">
        <v>0.5413972223878111</v>
      </c>
      <c r="K34" s="153" t="n">
        <v>0.053524</v>
      </c>
      <c r="L34" s="153" t="n">
        <v>0.3117833507573673</v>
      </c>
      <c r="M34" s="153" t="n">
        <v>0.07061153986768859</v>
      </c>
      <c r="N34" s="154" t="n">
        <v>1.83066053517283</v>
      </c>
      <c r="O34" s="154" t="n">
        <v>1.1055363962241</v>
      </c>
      <c r="P34" s="154" t="n">
        <v>8.972844558455247</v>
      </c>
      <c r="Q34" s="154" t="n">
        <v>10.56471018010126</v>
      </c>
      <c r="R34" s="154" t="n">
        <v>2.733036754860097</v>
      </c>
      <c r="S34" s="154" t="n">
        <v>21.61187500533381</v>
      </c>
      <c r="T34" s="153" t="n">
        <v>0.1472250045880146</v>
      </c>
      <c r="U34" s="153" t="n">
        <v>0.03395938596375819</v>
      </c>
      <c r="V34" s="153" t="n">
        <v>0.026989790167119</v>
      </c>
      <c r="W34" s="153" t="n">
        <v>0.5301203584239703</v>
      </c>
      <c r="X34" s="153" t="n">
        <v>0.2751209698375531</v>
      </c>
      <c r="Y34" s="153" t="n">
        <v>0.1733046666068993</v>
      </c>
      <c r="Z34" s="153" t="n">
        <v>0.1733046666068994</v>
      </c>
      <c r="AA34" s="155" t="n">
        <v>0.1048745513532948</v>
      </c>
    </row>
    <row r="35" ht="14" customHeight="1">
      <c r="A35" s="152" t="inlineStr">
        <is>
          <t>Financial Svcs. (Non-bank &amp; Insurance)</t>
        </is>
      </c>
      <c r="B35" s="76" t="n">
        <v>192</v>
      </c>
      <c r="C35" s="153" t="n">
        <v>0.1912390756302522</v>
      </c>
      <c r="D35" s="153" t="n">
        <v>0.1599293392667383</v>
      </c>
      <c r="E35" s="153" t="n">
        <v>0.009633008620958703</v>
      </c>
      <c r="F35" s="153" t="n">
        <v>0.1899782729119316</v>
      </c>
      <c r="G35" s="154" t="n">
        <v>0.3285146958052981</v>
      </c>
      <c r="H35" s="154" t="n">
        <v>1.140049093384625</v>
      </c>
      <c r="I35" s="153" t="n">
        <v>0.09124225829569274</v>
      </c>
      <c r="J35" s="153" t="n">
        <v>0.3810213497605191</v>
      </c>
      <c r="K35" s="153" t="n">
        <v>0.050855</v>
      </c>
      <c r="L35" s="153" t="n">
        <v>0.7741508529111514</v>
      </c>
      <c r="M35" s="153" t="n">
        <v>0.05013406743314008</v>
      </c>
      <c r="N35" s="154" t="n">
        <v>0.06711914980886977</v>
      </c>
      <c r="O35" s="154" t="n">
        <v>18.6429871573819</v>
      </c>
      <c r="P35" s="154" t="n">
        <v>57.68053887705874</v>
      </c>
      <c r="Q35" s="154" t="n">
        <v>77.49458222836256</v>
      </c>
      <c r="R35" s="154" t="n">
        <v>3.380815208699703</v>
      </c>
      <c r="S35" s="154" t="n">
        <v>25.80604422143343</v>
      </c>
      <c r="T35" s="153" t="n">
        <v>12.60442861268809</v>
      </c>
      <c r="U35" s="153" t="n">
        <v>0.02840976322939448</v>
      </c>
      <c r="V35" s="153" t="n">
        <v>0.02784123817606895</v>
      </c>
      <c r="W35" s="153" t="n">
        <v>0.2010597676414224</v>
      </c>
      <c r="X35" s="153" t="n">
        <v>0.2131164382943439</v>
      </c>
      <c r="Y35" s="153" t="n">
        <v>0.3170038421079747</v>
      </c>
      <c r="Z35" s="153" t="n">
        <v>0.3170038421079746</v>
      </c>
      <c r="AA35" s="155" t="n">
        <v>0.1601417744286276</v>
      </c>
    </row>
    <row r="36" ht="14" customHeight="1">
      <c r="A36" s="152" t="inlineStr">
        <is>
          <t>Food Processing</t>
        </is>
      </c>
      <c r="B36" s="76" t="n">
        <v>93</v>
      </c>
      <c r="C36" s="153" t="n">
        <v>0.06452666666666666</v>
      </c>
      <c r="D36" s="153" t="n">
        <v>0.1049104984408085</v>
      </c>
      <c r="E36" s="153" t="n">
        <v>0.1663278798164061</v>
      </c>
      <c r="F36" s="153" t="n">
        <v>0.2233596151385712</v>
      </c>
      <c r="G36" s="154" t="n">
        <v>0.5690899800241147</v>
      </c>
      <c r="H36" s="154" t="n">
        <v>0.7075053366756089</v>
      </c>
      <c r="I36" s="153" t="n">
        <v>0.07134524548707802</v>
      </c>
      <c r="J36" s="153" t="n">
        <v>0.355210168252529</v>
      </c>
      <c r="K36" s="153" t="n">
        <v>0.050855</v>
      </c>
      <c r="L36" s="153" t="n">
        <v>0.2689285723195291</v>
      </c>
      <c r="M36" s="153" t="n">
        <v>0.06241574238543404</v>
      </c>
      <c r="N36" s="154" t="n">
        <v>1.713553899052031</v>
      </c>
      <c r="O36" s="154" t="n">
        <v>1.728213437108065</v>
      </c>
      <c r="P36" s="154" t="n">
        <v>11.43794913898621</v>
      </c>
      <c r="Q36" s="154" t="n">
        <v>16.11869812677607</v>
      </c>
      <c r="R36" s="154" t="n">
        <v>2.304499677000559</v>
      </c>
      <c r="S36" s="154" t="n">
        <v>30.03172173237634</v>
      </c>
      <c r="T36" s="153" t="n">
        <v>0.07750013705375972</v>
      </c>
      <c r="U36" s="153" t="n">
        <v>0.04469492651895738</v>
      </c>
      <c r="V36" s="153" t="n">
        <v>0.03304485112767327</v>
      </c>
      <c r="W36" s="153" t="n">
        <v>0.4645560002781671</v>
      </c>
      <c r="X36" s="153" t="n">
        <v>0.08977490342886781</v>
      </c>
      <c r="Y36" s="153" t="n">
        <v>0.7642213779357058</v>
      </c>
      <c r="Z36" s="153" t="n">
        <v>0.7642213779357058</v>
      </c>
      <c r="AA36" s="155" t="n">
        <v>0.1067102564260787</v>
      </c>
    </row>
    <row r="37" ht="14" customHeight="1">
      <c r="A37" s="152" t="inlineStr">
        <is>
          <t>Food Wholesalers</t>
        </is>
      </c>
      <c r="B37" s="76" t="n">
        <v>14</v>
      </c>
      <c r="C37" s="153" t="n">
        <v>0.18654</v>
      </c>
      <c r="D37" s="153" t="n">
        <v>0.02231777796113556</v>
      </c>
      <c r="E37" s="153" t="n">
        <v>0.1496175439022616</v>
      </c>
      <c r="F37" s="153" t="n">
        <v>0.2440190000210877</v>
      </c>
      <c r="G37" s="154" t="n">
        <v>0.735070446558385</v>
      </c>
      <c r="H37" s="154" t="n">
        <v>0.9657109707728366</v>
      </c>
      <c r="I37" s="153" t="n">
        <v>0.08322270465555048</v>
      </c>
      <c r="J37" s="153" t="n">
        <v>0.2730341205580487</v>
      </c>
      <c r="K37" s="153" t="n">
        <v>0.050855</v>
      </c>
      <c r="L37" s="153" t="n">
        <v>0.3086032140951128</v>
      </c>
      <c r="M37" s="153" t="n">
        <v>0.06931042285276451</v>
      </c>
      <c r="N37" s="154" t="n">
        <v>8.019146001382584</v>
      </c>
      <c r="O37" s="154" t="n">
        <v>0.4004885022763874</v>
      </c>
      <c r="P37" s="154" t="n">
        <v>11.25636742538489</v>
      </c>
      <c r="Q37" s="154" t="n">
        <v>18.0515417386402</v>
      </c>
      <c r="R37" s="154" t="n">
        <v>4.102757035965513</v>
      </c>
      <c r="S37" s="154" t="n">
        <v>26.10422435346539</v>
      </c>
      <c r="T37" s="153" t="n">
        <v>0.05775676283002207</v>
      </c>
      <c r="U37" s="153" t="n">
        <v>0.009305647965928221</v>
      </c>
      <c r="V37" s="153" t="n">
        <v>0.008990082879669114</v>
      </c>
      <c r="W37" s="153" t="n">
        <v>0.4719452586189846</v>
      </c>
      <c r="X37" s="153" t="n">
        <v>0.2111437532862961</v>
      </c>
      <c r="Y37" s="153" t="n">
        <v>0.3816139050363045</v>
      </c>
      <c r="Z37" s="153" t="n">
        <v>0.3816139050363045</v>
      </c>
      <c r="AA37" s="155" t="n">
        <v>0.02218364450918135</v>
      </c>
    </row>
    <row r="38" ht="14" customHeight="1">
      <c r="A38" s="152" t="inlineStr">
        <is>
          <t>Furn/Home Furnishings</t>
        </is>
      </c>
      <c r="B38" s="76" t="n">
        <v>31</v>
      </c>
      <c r="C38" s="153" t="n">
        <v>0.03133047619047619</v>
      </c>
      <c r="D38" s="153" t="n">
        <v>0.05863342094918943</v>
      </c>
      <c r="E38" s="153" t="n">
        <v>0.1031461588962982</v>
      </c>
      <c r="F38" s="153" t="n">
        <v>0.3449147774663963</v>
      </c>
      <c r="G38" s="154" t="n">
        <v>0.8611874852176121</v>
      </c>
      <c r="H38" s="154" t="n">
        <v>1.107106245209728</v>
      </c>
      <c r="I38" s="153" t="n">
        <v>0.0897268872796475</v>
      </c>
      <c r="J38" s="153" t="n">
        <v>0.4665248043021499</v>
      </c>
      <c r="K38" s="153" t="n">
        <v>0.050855</v>
      </c>
      <c r="L38" s="153" t="n">
        <v>0.3222606162357703</v>
      </c>
      <c r="M38" s="153" t="n">
        <v>0.07310286802099338</v>
      </c>
      <c r="N38" s="154" t="n">
        <v>1.960874135947077</v>
      </c>
      <c r="O38" s="154" t="n">
        <v>1.047945925776385</v>
      </c>
      <c r="P38" s="154" t="n">
        <v>9.365153315056007</v>
      </c>
      <c r="Q38" s="154" t="n">
        <v>16.69922522432233</v>
      </c>
      <c r="R38" s="154" t="n">
        <v>2.252546239324271</v>
      </c>
      <c r="S38" s="154" t="n">
        <v>19.58001711865685</v>
      </c>
      <c r="T38" s="153" t="n">
        <v>0.1397376950677038</v>
      </c>
      <c r="U38" s="153" t="n">
        <v>0.03244916758319206</v>
      </c>
      <c r="V38" s="153" t="n">
        <v>0.07215518793071732</v>
      </c>
      <c r="W38" s="153" t="n">
        <v>0.9731455119346809</v>
      </c>
      <c r="X38" s="153" t="n">
        <v>-0.06526279080199633</v>
      </c>
      <c r="Y38" s="153" t="n">
        <v>0.008561710778602603</v>
      </c>
      <c r="Z38" s="153" t="n">
        <v>0.008561710778602571</v>
      </c>
      <c r="AA38" s="155" t="n">
        <v>0.06111385929719684</v>
      </c>
    </row>
    <row r="39" ht="14" customHeight="1">
      <c r="A39" s="152" t="inlineStr">
        <is>
          <t>Green &amp; Renewable Energy</t>
        </is>
      </c>
      <c r="B39" s="76" t="n">
        <v>17</v>
      </c>
      <c r="C39" s="153" t="n">
        <v>0.03735</v>
      </c>
      <c r="D39" s="153" t="n">
        <v>0.2343969197239695</v>
      </c>
      <c r="E39" s="153" t="n">
        <v>0.041502730750869</v>
      </c>
      <c r="F39" s="153" t="n">
        <v>0.07057255807755519</v>
      </c>
      <c r="G39" s="154" t="n">
        <v>0.5560860191551688</v>
      </c>
      <c r="H39" s="154" t="n">
        <v>1.106707719629632</v>
      </c>
      <c r="I39" s="153" t="n">
        <v>0.08970855510296308</v>
      </c>
      <c r="J39" s="153" t="n">
        <v>0.5733620520250774</v>
      </c>
      <c r="K39" s="153" t="n">
        <v>0.053524</v>
      </c>
      <c r="L39" s="153" t="n">
        <v>0.5857606197878946</v>
      </c>
      <c r="M39" s="153" t="n">
        <v>0.06067500482572039</v>
      </c>
      <c r="N39" s="154" t="n">
        <v>0.1993318885420223</v>
      </c>
      <c r="O39" s="154" t="n">
        <v>7.471964571566294</v>
      </c>
      <c r="P39" s="154" t="n">
        <v>12.63199456142797</v>
      </c>
      <c r="Q39" s="154" t="n">
        <v>33.57877466889787</v>
      </c>
      <c r="R39" s="154" t="n">
        <v>0.8544222894141614</v>
      </c>
      <c r="S39" s="154" t="n">
        <v>39.87241810854294</v>
      </c>
      <c r="T39" s="153" t="n">
        <v>-0.2798162545898892</v>
      </c>
      <c r="U39" s="153" t="n">
        <v>0.4431677167628508</v>
      </c>
      <c r="V39" s="153" t="n">
        <v>0.2046087567477953</v>
      </c>
      <c r="W39" s="153" t="n">
        <v>1.159019820796266</v>
      </c>
      <c r="X39" s="153" t="n">
        <v>0.1067510142865383</v>
      </c>
      <c r="Y39" s="153" t="n">
        <v>0.2559530242443892</v>
      </c>
      <c r="Z39" s="153" t="n">
        <v>0.2559530242443893</v>
      </c>
      <c r="AA39" s="155" t="n">
        <v>0.2177557085378222</v>
      </c>
    </row>
    <row r="40" ht="14" customHeight="1">
      <c r="A40" s="152" t="inlineStr">
        <is>
          <t>Healthcare Products</t>
        </is>
      </c>
      <c r="B40" s="76" t="n">
        <v>230</v>
      </c>
      <c r="C40" s="153" t="n">
        <v>0.1794840000000001</v>
      </c>
      <c r="D40" s="153" t="n">
        <v>0.1329496754079794</v>
      </c>
      <c r="E40" s="153" t="n">
        <v>0.1308118160288834</v>
      </c>
      <c r="F40" s="153" t="n">
        <v>0.2058016276197557</v>
      </c>
      <c r="G40" s="154" t="n">
        <v>1.005418071891026</v>
      </c>
      <c r="H40" s="154" t="n">
        <v>1.062079895442844</v>
      </c>
      <c r="I40" s="153" t="n">
        <v>0.08765567519037082</v>
      </c>
      <c r="J40" s="153" t="n">
        <v>0.5220553450431473</v>
      </c>
      <c r="K40" s="153" t="n">
        <v>0.053524</v>
      </c>
      <c r="L40" s="153" t="n">
        <v>0.1123972975055991</v>
      </c>
      <c r="M40" s="153" t="n">
        <v>0.08231537890171181</v>
      </c>
      <c r="N40" s="154" t="n">
        <v>0.9916960692418304</v>
      </c>
      <c r="O40" s="154" t="n">
        <v>5.16106566472784</v>
      </c>
      <c r="P40" s="154" t="n">
        <v>21.51137279759148</v>
      </c>
      <c r="Q40" s="154" t="n">
        <v>36.99222088412483</v>
      </c>
      <c r="R40" s="154" t="n">
        <v>4.629146961325782</v>
      </c>
      <c r="S40" s="154" t="n">
        <v>61.89156213874568</v>
      </c>
      <c r="T40" s="153" t="n">
        <v>0.255742019719539</v>
      </c>
      <c r="U40" s="153" t="n">
        <v>0.0490182384484802</v>
      </c>
      <c r="V40" s="153" t="n">
        <v>0.02077172929839706</v>
      </c>
      <c r="W40" s="153" t="n">
        <v>0.4951245525175229</v>
      </c>
      <c r="X40" s="153" t="n">
        <v>0.08305797928561881</v>
      </c>
      <c r="Y40" s="153" t="n">
        <v>0.4176547855320923</v>
      </c>
      <c r="Z40" s="153" t="n">
        <v>0.4176547855320922</v>
      </c>
      <c r="AA40" s="155" t="n">
        <v>0.1383573960583481</v>
      </c>
    </row>
    <row r="41" ht="14" customHeight="1">
      <c r="A41" s="152" t="inlineStr">
        <is>
          <t>Healthcare Support Services</t>
        </is>
      </c>
      <c r="B41" s="76" t="n">
        <v>119</v>
      </c>
      <c r="C41" s="153" t="n">
        <v>0.1242187719298245</v>
      </c>
      <c r="D41" s="153" t="n">
        <v>0.03918341989036712</v>
      </c>
      <c r="E41" s="153" t="n">
        <v>0.4574102830620488</v>
      </c>
      <c r="F41" s="153" t="n">
        <v>0.2252939473798098</v>
      </c>
      <c r="G41" s="154" t="n">
        <v>0.9403062489496928</v>
      </c>
      <c r="H41" s="154" t="n">
        <v>1.032622906140608</v>
      </c>
      <c r="I41" s="153" t="n">
        <v>0.08630065368246795</v>
      </c>
      <c r="J41" s="153" t="n">
        <v>0.495257334489641</v>
      </c>
      <c r="K41" s="153" t="n">
        <v>0.050855</v>
      </c>
      <c r="L41" s="153" t="n">
        <v>0.2117523051840508</v>
      </c>
      <c r="M41" s="153" t="n">
        <v>0.07610278893641609</v>
      </c>
      <c r="N41" s="154" t="n">
        <v>12.88099780247815</v>
      </c>
      <c r="O41" s="154" t="n">
        <v>0.6094709713815003</v>
      </c>
      <c r="P41" s="154" t="n">
        <v>11.29245433490106</v>
      </c>
      <c r="Q41" s="154" t="n">
        <v>15.45559464548264</v>
      </c>
      <c r="R41" s="154" t="n">
        <v>3.337712803480082</v>
      </c>
      <c r="S41" s="154" t="n">
        <v>80.16828730486425</v>
      </c>
      <c r="T41" s="153" t="n">
        <v>-0.06525413741565193</v>
      </c>
      <c r="U41" s="153" t="n">
        <v>0.007054822379833121</v>
      </c>
      <c r="V41" s="153" t="n">
        <v>0.01915140287118144</v>
      </c>
      <c r="W41" s="153" t="n">
        <v>0.6275372045055494</v>
      </c>
      <c r="X41" s="153" t="n">
        <v>0.1562031003418412</v>
      </c>
      <c r="Y41" s="153" t="n">
        <v>0.2962592112192362</v>
      </c>
      <c r="Z41" s="153" t="n">
        <v>0.2962592112192362</v>
      </c>
      <c r="AA41" s="155" t="n">
        <v>0.03863510174300033</v>
      </c>
    </row>
    <row r="42" ht="14" customHeight="1">
      <c r="A42" s="152" t="inlineStr">
        <is>
          <t>Heathcare Information and Technology</t>
        </is>
      </c>
      <c r="B42" s="76" t="n">
        <v>128</v>
      </c>
      <c r="C42" s="153" t="n">
        <v>0.1966670689655173</v>
      </c>
      <c r="D42" s="153" t="n">
        <v>0.1400806639108433</v>
      </c>
      <c r="E42" s="153" t="n">
        <v>0.1428121724863794</v>
      </c>
      <c r="F42" s="153" t="n">
        <v>0.1169198595869115</v>
      </c>
      <c r="G42" s="154" t="n">
        <v>1.187533947798319</v>
      </c>
      <c r="H42" s="154" t="n">
        <v>1.274754256824552</v>
      </c>
      <c r="I42" s="153" t="n">
        <v>0.09743869581392939</v>
      </c>
      <c r="J42" s="153" t="n">
        <v>0.5415316524692178</v>
      </c>
      <c r="K42" s="153" t="n">
        <v>0.053524</v>
      </c>
      <c r="L42" s="153" t="n">
        <v>0.1384503476318378</v>
      </c>
      <c r="M42" s="153" t="n">
        <v>0.08950608681068283</v>
      </c>
      <c r="N42" s="154" t="n">
        <v>1.0414718449586</v>
      </c>
      <c r="O42" s="154" t="n">
        <v>5.28889573407126</v>
      </c>
      <c r="P42" s="154" t="n">
        <v>21.43557654642684</v>
      </c>
      <c r="Q42" s="154" t="n">
        <v>36.52953122117682</v>
      </c>
      <c r="R42" s="154" t="n">
        <v>4.088727827705521</v>
      </c>
      <c r="S42" s="154" t="n">
        <v>44.43644387862758</v>
      </c>
      <c r="T42" s="153" t="n">
        <v>0.229458752737356</v>
      </c>
      <c r="U42" s="153" t="n">
        <v>0.04510818889562337</v>
      </c>
      <c r="V42" s="153" t="n">
        <v>0.02667727184422564</v>
      </c>
      <c r="W42" s="153" t="n">
        <v>0.3133945551322462</v>
      </c>
      <c r="X42" s="153" t="n">
        <v>0.0517765805634577</v>
      </c>
      <c r="Y42" s="153" t="n">
        <v>0.1972733077100413</v>
      </c>
      <c r="Z42" s="153" t="n">
        <v>0.1972733077100413</v>
      </c>
      <c r="AA42" s="155" t="n">
        <v>0.1414922855264892</v>
      </c>
    </row>
    <row r="43" ht="14" customHeight="1">
      <c r="A43" s="152" t="inlineStr">
        <is>
          <t>Homebuilding</t>
        </is>
      </c>
      <c r="B43" s="76" t="n">
        <v>32</v>
      </c>
      <c r="C43" s="153" t="n">
        <v>0.1104078260869565</v>
      </c>
      <c r="D43" s="153" t="n">
        <v>0.1624351138519703</v>
      </c>
      <c r="E43" s="153" t="n">
        <v>0.2090618238898966</v>
      </c>
      <c r="F43" s="153" t="n">
        <v>0.2344174875107324</v>
      </c>
      <c r="G43" s="154" t="n">
        <v>1.353591592981326</v>
      </c>
      <c r="H43" s="154" t="n">
        <v>1.369534934661772</v>
      </c>
      <c r="I43" s="153" t="n">
        <v>0.1017986069944415</v>
      </c>
      <c r="J43" s="153" t="n">
        <v>0.3231388378117894</v>
      </c>
      <c r="K43" s="153" t="n">
        <v>0.050855</v>
      </c>
      <c r="L43" s="153" t="n">
        <v>0.1410405756333471</v>
      </c>
      <c r="M43" s="153" t="n">
        <v>0.09282033672064799</v>
      </c>
      <c r="N43" s="154" t="n">
        <v>1.549049244897617</v>
      </c>
      <c r="O43" s="154" t="n">
        <v>1.322751156524132</v>
      </c>
      <c r="P43" s="154" t="n">
        <v>7.792651325795131</v>
      </c>
      <c r="Q43" s="154" t="n">
        <v>8.106886452741305</v>
      </c>
      <c r="R43" s="154" t="n">
        <v>2.003498899791256</v>
      </c>
      <c r="S43" s="154" t="n">
        <v>10.66322620830475</v>
      </c>
      <c r="T43" s="153" t="n">
        <v>0.5851080967899663</v>
      </c>
      <c r="U43" s="153" t="n">
        <v>0.005136223478795905</v>
      </c>
      <c r="V43" s="153" t="n">
        <v>0.003627956840827162</v>
      </c>
      <c r="W43" s="153" t="n">
        <v>-0.04996220070411062</v>
      </c>
      <c r="X43" s="153" t="n">
        <v>0.2288315257494398</v>
      </c>
      <c r="Y43" s="153" t="n">
        <v>0.06433100516498451</v>
      </c>
      <c r="Z43" s="153" t="n">
        <v>0.06433100516498447</v>
      </c>
      <c r="AA43" s="155" t="n">
        <v>0.163037481385346</v>
      </c>
    </row>
    <row r="44" ht="14" customHeight="1">
      <c r="A44" s="152" t="inlineStr">
        <is>
          <t>Hospitals/Healthcare Facilities</t>
        </is>
      </c>
      <c r="B44" s="76" t="n">
        <v>32</v>
      </c>
      <c r="C44" s="153" t="n">
        <v>0.1810689473684211</v>
      </c>
      <c r="D44" s="153" t="n">
        <v>0.1156935415013267</v>
      </c>
      <c r="E44" s="153" t="n">
        <v>0.2015664022610945</v>
      </c>
      <c r="F44" s="153" t="n">
        <v>0.2029553064378943</v>
      </c>
      <c r="G44" s="154" t="n">
        <v>0.5599961069519285</v>
      </c>
      <c r="H44" s="154" t="n">
        <v>0.879576324903561</v>
      </c>
      <c r="I44" s="153" t="n">
        <v>0.0792605109455638</v>
      </c>
      <c r="J44" s="153" t="n">
        <v>0.4632806494431785</v>
      </c>
      <c r="K44" s="153" t="n">
        <v>0.050855</v>
      </c>
      <c r="L44" s="153" t="n">
        <v>0.4436503719440155</v>
      </c>
      <c r="M44" s="153" t="n">
        <v>0.06101793553300139</v>
      </c>
      <c r="N44" s="154" t="n">
        <v>1.873947269056289</v>
      </c>
      <c r="O44" s="154" t="n">
        <v>1.559769313125007</v>
      </c>
      <c r="P44" s="154" t="n">
        <v>8.752615756037349</v>
      </c>
      <c r="Q44" s="154" t="n">
        <v>13.41273141736172</v>
      </c>
      <c r="R44" s="154" t="n">
        <v>5.116820380350496</v>
      </c>
      <c r="S44" s="154" t="n">
        <v>22.86607742905324</v>
      </c>
      <c r="T44" s="153" t="n">
        <v>0.1117341333415825</v>
      </c>
      <c r="U44" s="153" t="n">
        <v>0.06248242818478106</v>
      </c>
      <c r="V44" s="153" t="n">
        <v>0.02204112907939071</v>
      </c>
      <c r="W44" s="153" t="n">
        <v>0.3491979818825059</v>
      </c>
      <c r="X44" s="153" t="n">
        <v>0.6196567951123925</v>
      </c>
      <c r="Y44" s="153" t="n">
        <v>0.1278112603071044</v>
      </c>
      <c r="Z44" s="153" t="n">
        <v>0.1278112603071044</v>
      </c>
      <c r="AA44" s="155" t="n">
        <v>0.1154805210386439</v>
      </c>
    </row>
    <row r="45" ht="14" customHeight="1">
      <c r="A45" s="152" t="inlineStr">
        <is>
          <t>Hotel/Gaming</t>
        </is>
      </c>
      <c r="B45" s="76" t="n">
        <v>68</v>
      </c>
      <c r="C45" s="153" t="n">
        <v>0.1024465</v>
      </c>
      <c r="D45" s="153" t="n">
        <v>0.171395693257139</v>
      </c>
      <c r="E45" s="153" t="n">
        <v>0.09988621756233888</v>
      </c>
      <c r="F45" s="153" t="n">
        <v>0.1926500388336529</v>
      </c>
      <c r="G45" s="154" t="n">
        <v>1.048189773353677</v>
      </c>
      <c r="H45" s="154" t="n">
        <v>1.343428067532195</v>
      </c>
      <c r="I45" s="153" t="n">
        <v>0.100597691106481</v>
      </c>
      <c r="J45" s="153" t="n">
        <v>0.4079972106407317</v>
      </c>
      <c r="K45" s="153" t="n">
        <v>0.050855</v>
      </c>
      <c r="L45" s="153" t="n">
        <v>0.3273672054924581</v>
      </c>
      <c r="M45" s="153" t="n">
        <v>0.080151500516448</v>
      </c>
      <c r="N45" s="154" t="n">
        <v>0.8068226577495352</v>
      </c>
      <c r="O45" s="154" t="n">
        <v>4.225278800410454</v>
      </c>
      <c r="P45" s="154" t="n">
        <v>14.97544044116743</v>
      </c>
      <c r="Q45" s="154" t="n">
        <v>30.72977186409063</v>
      </c>
      <c r="R45" s="154" t="n">
        <v>11.05631509641317</v>
      </c>
      <c r="S45" s="154" t="n">
        <v>32.22143792065357</v>
      </c>
      <c r="T45" s="153" t="n">
        <v>0.02991513267185368</v>
      </c>
      <c r="U45" s="153" t="n">
        <v>0.0671217870013804</v>
      </c>
      <c r="V45" s="153" t="n">
        <v>0.01117166723366772</v>
      </c>
      <c r="W45" s="153" t="n">
        <v>0.2181007264159746</v>
      </c>
      <c r="X45" s="153" t="n">
        <v>0.3586909891606898</v>
      </c>
      <c r="Y45" s="153" t="n">
        <v>0.08431271586945352</v>
      </c>
      <c r="Z45" s="153" t="n">
        <v>0.08431271586945355</v>
      </c>
      <c r="AA45" s="155" t="n">
        <v>0.1353510075045758</v>
      </c>
    </row>
    <row r="46" ht="14" customHeight="1">
      <c r="A46" s="152" t="inlineStr">
        <is>
          <t>Household Products</t>
        </is>
      </c>
      <c r="B46" s="76" t="n">
        <v>19</v>
      </c>
      <c r="C46" s="153" t="n">
        <v>0.012966</v>
      </c>
      <c r="D46" s="153" t="n">
        <v>0.1874135488842091</v>
      </c>
      <c r="E46" s="153" t="n">
        <v>0.346430446444822</v>
      </c>
      <c r="F46" s="153" t="n">
        <v>0.2127545379067196</v>
      </c>
      <c r="G46" s="154" t="n">
        <v>0.7201736270372189</v>
      </c>
      <c r="H46" s="154" t="n">
        <v>0.7800305694073295</v>
      </c>
      <c r="I46" s="153" t="n">
        <v>0.07468140619273717</v>
      </c>
      <c r="J46" s="153" t="n">
        <v>0.3017460946597821</v>
      </c>
      <c r="K46" s="153" t="n">
        <v>0.050855</v>
      </c>
      <c r="L46" s="153" t="n">
        <v>0.1288525054197205</v>
      </c>
      <c r="M46" s="153" t="n">
        <v>0.06997311551887506</v>
      </c>
      <c r="N46" s="154" t="n">
        <v>2.085336469889461</v>
      </c>
      <c r="O46" s="154" t="n">
        <v>3.594753098160112</v>
      </c>
      <c r="P46" s="154" t="n">
        <v>15.88296679473281</v>
      </c>
      <c r="Q46" s="154" t="n">
        <v>19.02931689142451</v>
      </c>
      <c r="R46" s="154" t="n">
        <v>8.177869717597908</v>
      </c>
      <c r="S46" s="154" t="n">
        <v>42.51674324522073</v>
      </c>
      <c r="T46" s="153" t="n">
        <v>0.05114449416600107</v>
      </c>
      <c r="U46" s="153" t="n">
        <v>0.03523091937263204</v>
      </c>
      <c r="V46" s="153" t="n">
        <v>0.01109042934384563</v>
      </c>
      <c r="W46" s="153" t="n">
        <v>0.0204321150955755</v>
      </c>
      <c r="X46" s="153" t="n">
        <v>0.3641117785082732</v>
      </c>
      <c r="Y46" s="153" t="n">
        <v>0.6655586538270595</v>
      </c>
      <c r="Z46" s="153" t="n">
        <v>0.6655586538270595</v>
      </c>
      <c r="AA46" s="155" t="n">
        <v>0.1889748579981836</v>
      </c>
    </row>
    <row r="47" ht="14" customHeight="1">
      <c r="A47" s="152" t="inlineStr">
        <is>
          <t>Information Services</t>
        </is>
      </c>
      <c r="B47" s="76" t="n">
        <v>18</v>
      </c>
      <c r="C47" s="153" t="n">
        <v>0.04717</v>
      </c>
      <c r="D47" s="153" t="n">
        <v>0.1163276002950612</v>
      </c>
      <c r="E47" s="153" t="n">
        <v>0.2274074043463916</v>
      </c>
      <c r="F47" s="153" t="n">
        <v>0.2577598047192839</v>
      </c>
      <c r="G47" s="154" t="n">
        <v>0.7723824914378383</v>
      </c>
      <c r="H47" s="154" t="n">
        <v>0.9307433698849299</v>
      </c>
      <c r="I47" s="153" t="n">
        <v>0.08161419501470678</v>
      </c>
      <c r="J47" s="153" t="n">
        <v>0.3382873796265951</v>
      </c>
      <c r="K47" s="153" t="n">
        <v>0.050855</v>
      </c>
      <c r="L47" s="153" t="n">
        <v>0.2628982947551388</v>
      </c>
      <c r="M47" s="153" t="n">
        <v>0.07018523190235645</v>
      </c>
      <c r="N47" s="154" t="n">
        <v>2.185113080563934</v>
      </c>
      <c r="O47" s="154" t="n">
        <v>2.332933091341277</v>
      </c>
      <c r="P47" s="154" t="n">
        <v>12.15371857544842</v>
      </c>
      <c r="Q47" s="154" t="n">
        <v>19.06125008056488</v>
      </c>
      <c r="R47" s="154" t="n">
        <v>4.057632214426638</v>
      </c>
      <c r="S47" s="154" t="n">
        <v>24.75722814738753</v>
      </c>
      <c r="T47" s="153" t="n">
        <v>0.1573233631513423</v>
      </c>
      <c r="U47" s="153" t="n">
        <v>0.01903380169139083</v>
      </c>
      <c r="V47" s="153" t="n">
        <v>-0.03625119576829269</v>
      </c>
      <c r="W47" s="153" t="n">
        <v>-0.2631403524056768</v>
      </c>
      <c r="X47" s="153" t="n">
        <v>0.08428916780703317</v>
      </c>
      <c r="Y47" s="153" t="n">
        <v>0.6070397140714504</v>
      </c>
      <c r="Z47" s="153" t="n">
        <v>0.6070397140714504</v>
      </c>
      <c r="AA47" s="155" t="n">
        <v>0.1233982054939375</v>
      </c>
    </row>
    <row r="48" ht="14" customHeight="1">
      <c r="A48" s="152" t="inlineStr">
        <is>
          <t>Insurance (General)</t>
        </is>
      </c>
      <c r="B48" s="76" t="n">
        <v>21</v>
      </c>
      <c r="C48" s="153" t="n">
        <v>0.07763727272727272</v>
      </c>
      <c r="D48" s="153" t="n">
        <v>0.1522733039237048</v>
      </c>
      <c r="E48" s="153" t="n">
        <v>0.1565354653857091</v>
      </c>
      <c r="F48" s="153" t="n">
        <v>0.2067199028036471</v>
      </c>
      <c r="G48" s="154" t="n">
        <v>0.8946178159376359</v>
      </c>
      <c r="H48" s="154" t="n">
        <v>1.033148632351063</v>
      </c>
      <c r="I48" s="153" t="n">
        <v>0.08632483708814892</v>
      </c>
      <c r="J48" s="153" t="n">
        <v>0.4038170360217039</v>
      </c>
      <c r="K48" s="153" t="n">
        <v>0.050855</v>
      </c>
      <c r="L48" s="153" t="n">
        <v>0.2059242910040652</v>
      </c>
      <c r="M48" s="153" t="n">
        <v>0.07640266607898921</v>
      </c>
      <c r="N48" s="154" t="n">
        <v>1.187979918303592</v>
      </c>
      <c r="O48" s="154" t="n">
        <v>2.65639332381758</v>
      </c>
      <c r="P48" s="154" t="n">
        <v>11.47931425966219</v>
      </c>
      <c r="Q48" s="154" t="n">
        <v>17.34088384285535</v>
      </c>
      <c r="R48" s="154" t="n">
        <v>2.855054505130747</v>
      </c>
      <c r="S48" s="154" t="n">
        <v>92.17728773965159</v>
      </c>
      <c r="T48" s="153" t="n">
        <v>-9.325625331898171e-05</v>
      </c>
      <c r="U48" s="153" t="n">
        <v>0.009278869870410879</v>
      </c>
      <c r="V48" s="153" t="n">
        <v>-0.02599849839227991</v>
      </c>
      <c r="W48" s="153" t="n">
        <v>0.3789687523388437</v>
      </c>
      <c r="X48" s="153" t="n">
        <v>0.1352469709752114</v>
      </c>
      <c r="Y48" s="153" t="n">
        <v>0.3275305969253899</v>
      </c>
      <c r="Z48" s="153" t="n">
        <v>0.3275305969253899</v>
      </c>
      <c r="AA48" s="155" t="n">
        <v>0.1526705842911407</v>
      </c>
    </row>
    <row r="49" ht="14" customHeight="1">
      <c r="A49" s="152" t="inlineStr">
        <is>
          <t>Insurance (Life)</t>
        </is>
      </c>
      <c r="B49" s="76" t="n">
        <v>23</v>
      </c>
      <c r="C49" s="153" t="n">
        <v>-0.0006250000000000012</v>
      </c>
      <c r="D49" s="153" t="n">
        <v>0.0006561673843832166</v>
      </c>
      <c r="E49" s="153" t="n">
        <v>0.001081680957214269</v>
      </c>
      <c r="F49" s="153" t="n">
        <v>0.1773493298381602</v>
      </c>
      <c r="G49" s="154" t="n">
        <v>0.5398311188838629</v>
      </c>
      <c r="H49" s="154" t="n">
        <v>0.7657608653274894</v>
      </c>
      <c r="I49" s="153" t="n">
        <v>0.07402499980506452</v>
      </c>
      <c r="J49" s="153" t="n">
        <v>0.3084968492503999</v>
      </c>
      <c r="K49" s="153" t="n">
        <v>0.050855</v>
      </c>
      <c r="L49" s="153" t="n">
        <v>0.4798338062341606</v>
      </c>
      <c r="M49" s="153" t="n">
        <v>0.0568067635541461</v>
      </c>
      <c r="N49" s="154" t="n">
        <v>0.9369712840702341</v>
      </c>
      <c r="O49" s="154" t="n">
        <v>1.565333646969359</v>
      </c>
      <c r="P49" s="154" t="n">
        <v>17.24492070332478</v>
      </c>
      <c r="Q49" s="154" t="inlineStr">
        <is>
          <t>NA</t>
        </is>
      </c>
      <c r="R49" s="154" t="n">
        <v>1.617345147325836</v>
      </c>
      <c r="S49" s="154" t="n">
        <v>176.3786320021675</v>
      </c>
      <c r="T49" s="153" t="n">
        <v>0.286158812471161</v>
      </c>
      <c r="U49" s="153" t="n">
        <v>0.001812242761727661</v>
      </c>
      <c r="V49" s="153" t="n">
        <v>-0.02561443595061765</v>
      </c>
      <c r="W49" s="153" t="inlineStr">
        <is>
          <t>NA</t>
        </is>
      </c>
      <c r="X49" s="153" t="n">
        <v>0.01324012745085527</v>
      </c>
      <c r="Y49" s="153" t="n">
        <v>3.812072472103254</v>
      </c>
      <c r="Z49" s="153" t="n">
        <v>3.812072472103254</v>
      </c>
      <c r="AA49" s="155" t="n">
        <v>0.001285292310542591</v>
      </c>
    </row>
    <row r="50" ht="14" customHeight="1">
      <c r="A50" s="152" t="inlineStr">
        <is>
          <t>Insurance (Prop/Cas.)</t>
        </is>
      </c>
      <c r="B50" s="76" t="n">
        <v>50</v>
      </c>
      <c r="C50" s="153" t="n">
        <v>0.0616765909090909</v>
      </c>
      <c r="D50" s="153" t="n">
        <v>0.0741210434078295</v>
      </c>
      <c r="E50" s="153" t="n">
        <v>0.1111863509790826</v>
      </c>
      <c r="F50" s="153" t="n">
        <v>0.1894421315773726</v>
      </c>
      <c r="G50" s="154" t="n">
        <v>0.6752076172747652</v>
      </c>
      <c r="H50" s="154" t="n">
        <v>0.7387577603373708</v>
      </c>
      <c r="I50" s="153" t="n">
        <v>0.07278285697551906</v>
      </c>
      <c r="J50" s="153" t="n">
        <v>0.2740417784199851</v>
      </c>
      <c r="K50" s="153" t="n">
        <v>0.050855</v>
      </c>
      <c r="L50" s="153" t="n">
        <v>0.1623541698682306</v>
      </c>
      <c r="M50" s="153" t="n">
        <v>0.06715864763210716</v>
      </c>
      <c r="N50" s="154" t="n">
        <v>1.69459365934776</v>
      </c>
      <c r="O50" s="154" t="n">
        <v>1.357762575225964</v>
      </c>
      <c r="P50" s="154" t="n">
        <v>11.77360488979121</v>
      </c>
      <c r="Q50" s="154" t="n">
        <v>15.65888581604781</v>
      </c>
      <c r="R50" s="154" t="n">
        <v>2.29890087150367</v>
      </c>
      <c r="S50" s="154" t="n">
        <v>20.72252135650364</v>
      </c>
      <c r="T50" s="153" t="n">
        <v>-0.409374897540245</v>
      </c>
      <c r="U50" s="153" t="n">
        <v>0.007798282092746183</v>
      </c>
      <c r="V50" s="153" t="n">
        <v>-0.00130169261164469</v>
      </c>
      <c r="W50" s="153" t="n">
        <v>0.2866229380931067</v>
      </c>
      <c r="X50" s="153" t="n">
        <v>0.1035688334336786</v>
      </c>
      <c r="Y50" s="153" t="n">
        <v>0.3513343235075974</v>
      </c>
      <c r="Z50" s="153" t="n">
        <v>0.3513343235075974</v>
      </c>
      <c r="AA50" s="155" t="n">
        <v>0.07491728052428294</v>
      </c>
    </row>
    <row r="51" ht="14" customHeight="1">
      <c r="A51" s="152" t="inlineStr">
        <is>
          <t>Investments &amp; Asset Management</t>
        </is>
      </c>
      <c r="B51" s="76" t="n">
        <v>334</v>
      </c>
      <c r="C51" s="153" t="n">
        <v>0.04603686274509802</v>
      </c>
      <c r="D51" s="153" t="n">
        <v>0.1499916403489553</v>
      </c>
      <c r="E51" s="153" t="n">
        <v>0.06163971752729119</v>
      </c>
      <c r="F51" s="153" t="n">
        <v>0.1897829230449871</v>
      </c>
      <c r="G51" s="154" t="n">
        <v>0.3912939296800667</v>
      </c>
      <c r="H51" s="154" t="n">
        <v>0.457005469482702</v>
      </c>
      <c r="I51" s="153" t="n">
        <v>0.05982225159620429</v>
      </c>
      <c r="J51" s="153" t="n">
        <v>0.1515088976106769</v>
      </c>
      <c r="K51" s="153" t="n">
        <v>0.045043</v>
      </c>
      <c r="L51" s="153" t="n">
        <v>0.2874257355668255</v>
      </c>
      <c r="M51" s="153" t="n">
        <v>0.05233768498325397</v>
      </c>
      <c r="N51" s="154" t="n">
        <v>0.4739871752497484</v>
      </c>
      <c r="O51" s="154" t="n">
        <v>5.415454683531844</v>
      </c>
      <c r="P51" s="154" t="n">
        <v>34.84525131380541</v>
      </c>
      <c r="Q51" s="154" t="n">
        <v>34.89604066216606</v>
      </c>
      <c r="R51" s="154" t="n">
        <v>2.003908803267418</v>
      </c>
      <c r="S51" s="154" t="n">
        <v>69.37883307856436</v>
      </c>
      <c r="T51" s="153" t="inlineStr">
        <is>
          <t>NA</t>
        </is>
      </c>
      <c r="U51" s="153" t="n">
        <v>0.02972574688299604</v>
      </c>
      <c r="V51" s="153" t="n">
        <v>0.0613614718892364</v>
      </c>
      <c r="W51" s="153" t="n">
        <v>0.5466968323096587</v>
      </c>
      <c r="X51" s="153" t="n">
        <v>0.1378363481316871</v>
      </c>
      <c r="Y51" s="153" t="n">
        <v>0.4210565068467859</v>
      </c>
      <c r="Z51" s="153" t="n">
        <v>0.421056506846786</v>
      </c>
      <c r="AA51" s="155" t="n">
        <v>0.1467072324360246</v>
      </c>
    </row>
    <row r="52" ht="14" customHeight="1">
      <c r="A52" s="152" t="inlineStr">
        <is>
          <t>Machinery</t>
        </is>
      </c>
      <c r="B52" s="76" t="n">
        <v>103</v>
      </c>
      <c r="C52" s="153" t="n">
        <v>0.04712599999999998</v>
      </c>
      <c r="D52" s="153" t="n">
        <v>0.147792130725919</v>
      </c>
      <c r="E52" s="153" t="n">
        <v>0.2490938532560407</v>
      </c>
      <c r="F52" s="153" t="n">
        <v>0.2171679517485776</v>
      </c>
      <c r="G52" s="154" t="n">
        <v>0.9376095544061418</v>
      </c>
      <c r="H52" s="154" t="n">
        <v>1.026056428602948</v>
      </c>
      <c r="I52" s="153" t="n">
        <v>0.08599859571573559</v>
      </c>
      <c r="J52" s="153" t="n">
        <v>0.3344421407862324</v>
      </c>
      <c r="K52" s="153" t="n">
        <v>0.050855</v>
      </c>
      <c r="L52" s="153" t="n">
        <v>0.1443098565705079</v>
      </c>
      <c r="M52" s="153" t="n">
        <v>0.07909230901965258</v>
      </c>
      <c r="N52" s="154" t="n">
        <v>1.8716132403382</v>
      </c>
      <c r="O52" s="154" t="n">
        <v>3.069919505080188</v>
      </c>
      <c r="P52" s="154" t="n">
        <v>15.46140844784165</v>
      </c>
      <c r="Q52" s="154" t="n">
        <v>20.31238382156512</v>
      </c>
      <c r="R52" s="154" t="n">
        <v>4.343824750041772</v>
      </c>
      <c r="S52" s="154" t="n">
        <v>26.95175496420387</v>
      </c>
      <c r="T52" s="153" t="n">
        <v>0.2517339643140846</v>
      </c>
      <c r="U52" s="153" t="n">
        <v>0.02442588471795783</v>
      </c>
      <c r="V52" s="153" t="n">
        <v>0.06427958072207628</v>
      </c>
      <c r="W52" s="153" t="n">
        <v>0.6676806488145169</v>
      </c>
      <c r="X52" s="153" t="n">
        <v>0.1902265609782304</v>
      </c>
      <c r="Y52" s="153" t="n">
        <v>0.3626998107382271</v>
      </c>
      <c r="Z52" s="153" t="n">
        <v>0.3626998107382271</v>
      </c>
      <c r="AA52" s="155" t="n">
        <v>0.150614656789397</v>
      </c>
    </row>
    <row r="53" ht="14" customHeight="1">
      <c r="A53" s="152" t="inlineStr">
        <is>
          <t>Metals &amp; Mining</t>
        </is>
      </c>
      <c r="B53" s="76" t="n">
        <v>68</v>
      </c>
      <c r="C53" s="153" t="n">
        <v>-0.01313333333333332</v>
      </c>
      <c r="D53" s="153" t="n">
        <v>0.1962108409301784</v>
      </c>
      <c r="E53" s="153" t="n">
        <v>0.2402669710602103</v>
      </c>
      <c r="F53" s="153" t="n">
        <v>0.352864128291061</v>
      </c>
      <c r="G53" s="154" t="n">
        <v>0.9121243548326187</v>
      </c>
      <c r="H53" s="154" t="n">
        <v>0.962478409539915</v>
      </c>
      <c r="I53" s="153" t="n">
        <v>0.08307400683883609</v>
      </c>
      <c r="J53" s="153" t="n">
        <v>0.605593652790272</v>
      </c>
      <c r="K53" s="153" t="n">
        <v>0.053524</v>
      </c>
      <c r="L53" s="153" t="n">
        <v>0.1365935261422664</v>
      </c>
      <c r="M53" s="153" t="n">
        <v>0.07720990923388173</v>
      </c>
      <c r="N53" s="154" t="n">
        <v>1.253501411648083</v>
      </c>
      <c r="O53" s="154" t="n">
        <v>2.937914549631262</v>
      </c>
      <c r="P53" s="154" t="n">
        <v>10.35584657864135</v>
      </c>
      <c r="Q53" s="154" t="n">
        <v>14.87377419701205</v>
      </c>
      <c r="R53" s="154" t="n">
        <v>3.222491992809813</v>
      </c>
      <c r="S53" s="154" t="n">
        <v>33.13259755742168</v>
      </c>
      <c r="T53" s="153" t="n">
        <v>0.1532155838029568</v>
      </c>
      <c r="U53" s="153" t="n">
        <v>0.1303014462263212</v>
      </c>
      <c r="V53" s="153" t="n">
        <v>0.05911404921719728</v>
      </c>
      <c r="W53" s="153" t="n">
        <v>0.631496293074419</v>
      </c>
      <c r="X53" s="153" t="n">
        <v>0.1216589542038418</v>
      </c>
      <c r="Y53" s="153" t="n">
        <v>0.9547059514867223</v>
      </c>
      <c r="Z53" s="153" t="n">
        <v>0.9547059514867223</v>
      </c>
      <c r="AA53" s="155" t="n">
        <v>0.1955786761958626</v>
      </c>
    </row>
    <row r="54" ht="14" customHeight="1">
      <c r="A54" s="152" t="inlineStr">
        <is>
          <t>Office Equipment &amp; Services</t>
        </is>
      </c>
      <c r="B54" s="76" t="n">
        <v>17</v>
      </c>
      <c r="C54" s="153" t="n">
        <v>0.1585038461538462</v>
      </c>
      <c r="D54" s="153" t="n">
        <v>0.07292311757505164</v>
      </c>
      <c r="E54" s="153" t="n">
        <v>0.1292638934177992</v>
      </c>
      <c r="F54" s="153" t="n">
        <v>0.443225574589701</v>
      </c>
      <c r="G54" s="154" t="n">
        <v>0.8764328079953049</v>
      </c>
      <c r="H54" s="154" t="n">
        <v>1.13941852369145</v>
      </c>
      <c r="I54" s="153" t="n">
        <v>0.09121325208980668</v>
      </c>
      <c r="J54" s="153" t="n">
        <v>0.3028006279393898</v>
      </c>
      <c r="K54" s="153" t="n">
        <v>0.050855</v>
      </c>
      <c r="L54" s="153" t="n">
        <v>0.3445684064725374</v>
      </c>
      <c r="M54" s="153" t="n">
        <v>0.07292631690141482</v>
      </c>
      <c r="N54" s="154" t="n">
        <v>2.070408564827314</v>
      </c>
      <c r="O54" s="154" t="n">
        <v>1.171102280902863</v>
      </c>
      <c r="P54" s="154" t="n">
        <v>9.34264860122093</v>
      </c>
      <c r="Q54" s="154" t="n">
        <v>15.61056314380865</v>
      </c>
      <c r="R54" s="154" t="n">
        <v>2.536419912779032</v>
      </c>
      <c r="S54" s="154" t="n">
        <v>249.1565502380709</v>
      </c>
      <c r="T54" s="153" t="n">
        <v>0.09126079195854167</v>
      </c>
      <c r="U54" s="153" t="n">
        <v>0.02293676087554398</v>
      </c>
      <c r="V54" s="153" t="n">
        <v>0.01983353016355783</v>
      </c>
      <c r="W54" s="153" t="n">
        <v>0.1658016014045215</v>
      </c>
      <c r="X54" s="153" t="n">
        <v>0.026638000470444</v>
      </c>
      <c r="Y54" s="153" t="n">
        <v>2.251690805097501</v>
      </c>
      <c r="Z54" s="153" t="n">
        <v>2.251690805097501</v>
      </c>
      <c r="AA54" s="155" t="n">
        <v>0.07526993149408069</v>
      </c>
    </row>
    <row r="55" ht="14" customHeight="1">
      <c r="A55" s="152" t="inlineStr">
        <is>
          <t>Oil/Gas (Integrated)</t>
        </is>
      </c>
      <c r="B55" s="76" t="n">
        <v>4</v>
      </c>
      <c r="C55" s="153" t="n">
        <v>0.0176</v>
      </c>
      <c r="D55" s="153" t="n">
        <v>0.155957937510296</v>
      </c>
      <c r="E55" s="153" t="n">
        <v>0.1703977008178627</v>
      </c>
      <c r="F55" s="153" t="n">
        <v>0.2951241851606302</v>
      </c>
      <c r="G55" s="154" t="n">
        <v>0.6440450138393521</v>
      </c>
      <c r="H55" s="154" t="n">
        <v>0.6706515844468459</v>
      </c>
      <c r="I55" s="153" t="n">
        <v>0.06964997288455491</v>
      </c>
      <c r="J55" s="153" t="n">
        <v>0.2644480922318219</v>
      </c>
      <c r="K55" s="153" t="n">
        <v>0.050855</v>
      </c>
      <c r="L55" s="153" t="n">
        <v>0.1111322257637761</v>
      </c>
      <c r="M55" s="153" t="n">
        <v>0.06614833837942029</v>
      </c>
      <c r="N55" s="154" t="n">
        <v>1.370089682628894</v>
      </c>
      <c r="O55" s="154" t="n">
        <v>1.347482084900836</v>
      </c>
      <c r="P55" s="154" t="n">
        <v>6.238126514870909</v>
      </c>
      <c r="Q55" s="154" t="n">
        <v>8.538840720552136</v>
      </c>
      <c r="R55" s="154" t="n">
        <v>1.816944677335053</v>
      </c>
      <c r="S55" s="154" t="n">
        <v>8.018212897016301</v>
      </c>
      <c r="T55" s="153" t="n">
        <v>0.03369649525012355</v>
      </c>
      <c r="U55" s="153" t="n">
        <v>0.07386778595354455</v>
      </c>
      <c r="V55" s="153" t="n">
        <v>-0.0002148426775026158</v>
      </c>
      <c r="W55" s="153" t="n">
        <v>-0.01671215236463339</v>
      </c>
      <c r="X55" s="153" t="n">
        <v>0.1985181351676307</v>
      </c>
      <c r="Y55" s="153" t="n">
        <v>0.3714229653737158</v>
      </c>
      <c r="Z55" s="153" t="n">
        <v>0.3714229653737158</v>
      </c>
      <c r="AA55" s="155" t="n">
        <v>0.157793167611563</v>
      </c>
    </row>
    <row r="56" ht="14" customHeight="1">
      <c r="A56" s="152" t="inlineStr">
        <is>
          <t>Oil/Gas (Production and Exploration)</t>
        </is>
      </c>
      <c r="B56" s="76" t="n">
        <v>166</v>
      </c>
      <c r="C56" s="153" t="n">
        <v>0.2328005882352942</v>
      </c>
      <c r="D56" s="153" t="n">
        <v>0.3726583969106764</v>
      </c>
      <c r="E56" s="153" t="n">
        <v>0.2840570935586936</v>
      </c>
      <c r="F56" s="153" t="n">
        <v>0.2034246351069741</v>
      </c>
      <c r="G56" s="154" t="n">
        <v>0.8214204967594376</v>
      </c>
      <c r="H56" s="154" t="n">
        <v>0.9298987386959587</v>
      </c>
      <c r="I56" s="153" t="n">
        <v>0.08157534198001409</v>
      </c>
      <c r="J56" s="153" t="n">
        <v>0.4631033531067215</v>
      </c>
      <c r="K56" s="153" t="n">
        <v>0.050855</v>
      </c>
      <c r="L56" s="153" t="n">
        <v>0.1888424660399728</v>
      </c>
      <c r="M56" s="153" t="n">
        <v>0.07337314094030123</v>
      </c>
      <c r="N56" s="154" t="n">
        <v>0.7985632978346455</v>
      </c>
      <c r="O56" s="154" t="n">
        <v>2.650004308645573</v>
      </c>
      <c r="P56" s="154" t="n">
        <v>4.668377817514971</v>
      </c>
      <c r="Q56" s="154" t="n">
        <v>6.982567340901188</v>
      </c>
      <c r="R56" s="154" t="n">
        <v>1.943123009621164</v>
      </c>
      <c r="S56" s="154" t="n">
        <v>16.325943214834</v>
      </c>
      <c r="T56" s="153" t="n">
        <v>0.009995128861736279</v>
      </c>
      <c r="U56" s="153" t="n">
        <v>0.300475968528213</v>
      </c>
      <c r="V56" s="153" t="n">
        <v>0.1604640266550477</v>
      </c>
      <c r="W56" s="153" t="n">
        <v>0.5039504893607293</v>
      </c>
      <c r="X56" s="153" t="n">
        <v>0.3109479985718406</v>
      </c>
      <c r="Y56" s="153" t="n">
        <v>0.3127231610769736</v>
      </c>
      <c r="Z56" s="153" t="n">
        <v>0.3127231610769736</v>
      </c>
      <c r="AA56" s="155" t="n">
        <v>0.3768623424419068</v>
      </c>
    </row>
    <row r="57" ht="14" customHeight="1">
      <c r="A57" s="152" t="inlineStr">
        <is>
          <t>Oil/Gas Distribution</t>
        </is>
      </c>
      <c r="B57" s="76" t="n">
        <v>24</v>
      </c>
      <c r="C57" s="153" t="n">
        <v>0.2745153333333334</v>
      </c>
      <c r="D57" s="153" t="n">
        <v>0.3795302427353959</v>
      </c>
      <c r="E57" s="153" t="n">
        <v>0.206020825534808</v>
      </c>
      <c r="F57" s="153" t="n">
        <v>0.1824444762351737</v>
      </c>
      <c r="G57" s="154" t="n">
        <v>0.5291215712698411</v>
      </c>
      <c r="H57" s="154" t="n">
        <v>0.790752151008787</v>
      </c>
      <c r="I57" s="153" t="n">
        <v>0.07517459894640421</v>
      </c>
      <c r="J57" s="153" t="n">
        <v>0.3254754733249822</v>
      </c>
      <c r="K57" s="153" t="n">
        <v>0.050855</v>
      </c>
      <c r="L57" s="153" t="n">
        <v>0.4125209705549901</v>
      </c>
      <c r="M57" s="153" t="n">
        <v>0.05989756589613192</v>
      </c>
      <c r="N57" s="154" t="n">
        <v>0.5941367718527</v>
      </c>
      <c r="O57" s="154" t="n">
        <v>3.577191601894635</v>
      </c>
      <c r="P57" s="154" t="n">
        <v>7.311766844085146</v>
      </c>
      <c r="Q57" s="154" t="n">
        <v>9.292319764938465</v>
      </c>
      <c r="R57" s="154" t="n">
        <v>2.316973847830998</v>
      </c>
      <c r="S57" s="154" t="n">
        <v>18.41284012023769</v>
      </c>
      <c r="T57" s="153" t="n">
        <v>0.02533852241567282</v>
      </c>
      <c r="U57" s="153" t="n">
        <v>0.1653134380456791</v>
      </c>
      <c r="V57" s="153" t="n">
        <v>0.1312107107396184</v>
      </c>
      <c r="W57" s="153" t="n">
        <v>0.4028456796383902</v>
      </c>
      <c r="X57" s="153" t="n">
        <v>0.424060840586178</v>
      </c>
      <c r="Y57" s="153" t="n">
        <v>0.3984409637872293</v>
      </c>
      <c r="Z57" s="153" t="n">
        <v>0.3984409637872293</v>
      </c>
      <c r="AA57" s="155" t="n">
        <v>0.3821056945734007</v>
      </c>
    </row>
    <row r="58" ht="14" customHeight="1">
      <c r="A58" s="152" t="inlineStr">
        <is>
          <t>Oilfield Svcs/Equip.</t>
        </is>
      </c>
      <c r="B58" s="76" t="n">
        <v>100</v>
      </c>
      <c r="C58" s="153" t="n">
        <v>0.07737212121212124</v>
      </c>
      <c r="D58" s="153" t="n">
        <v>0.0872091490275141</v>
      </c>
      <c r="E58" s="153" t="n">
        <v>0.2802140695692729</v>
      </c>
      <c r="F58" s="153" t="n">
        <v>0.2183798745548326</v>
      </c>
      <c r="G58" s="154" t="n">
        <v>0.8529017381494012</v>
      </c>
      <c r="H58" s="154" t="n">
        <v>0.9795500315745983</v>
      </c>
      <c r="I58" s="153" t="n">
        <v>0.08385930145243152</v>
      </c>
      <c r="J58" s="153" t="n">
        <v>0.4372873643204813</v>
      </c>
      <c r="K58" s="153" t="n">
        <v>0.050855</v>
      </c>
      <c r="L58" s="153" t="n">
        <v>0.2432269507930905</v>
      </c>
      <c r="M58" s="153" t="n">
        <v>0.07273943920145498</v>
      </c>
      <c r="N58" s="154" t="n">
        <v>3.553462668606814</v>
      </c>
      <c r="O58" s="154" t="n">
        <v>0.6282383014519446</v>
      </c>
      <c r="P58" s="154" t="n">
        <v>5.424130388035158</v>
      </c>
      <c r="Q58" s="154" t="n">
        <v>7.079435296259764</v>
      </c>
      <c r="R58" s="154" t="n">
        <v>1.984096207030452</v>
      </c>
      <c r="S58" s="154" t="n">
        <v>70.29822817770717</v>
      </c>
      <c r="T58" s="153" t="n">
        <v>0.06341844706124501</v>
      </c>
      <c r="U58" s="153" t="n">
        <v>0.02363481901054324</v>
      </c>
      <c r="V58" s="153" t="n">
        <v>0.005762949509121732</v>
      </c>
      <c r="W58" s="153" t="n">
        <v>0.1548567271025011</v>
      </c>
      <c r="X58" s="153" t="n">
        <v>0.296469137164352</v>
      </c>
      <c r="Y58" s="153" t="n">
        <v>0.1880872531115289</v>
      </c>
      <c r="Z58" s="153" t="n">
        <v>0.188087253111529</v>
      </c>
      <c r="AA58" s="155" t="n">
        <v>0.08846245675775162</v>
      </c>
    </row>
    <row r="59" ht="14" customHeight="1">
      <c r="A59" s="152" t="inlineStr">
        <is>
          <t>Packaging &amp; Container</t>
        </is>
      </c>
      <c r="B59" s="76" t="n">
        <v>11</v>
      </c>
      <c r="C59" s="153" t="n">
        <v>0.046281</v>
      </c>
      <c r="D59" s="153" t="n">
        <v>0.1013634411396929</v>
      </c>
      <c r="E59" s="153" t="n">
        <v>0.1446895047050136</v>
      </c>
      <c r="F59" s="153" t="n">
        <v>0.2143667790493376</v>
      </c>
      <c r="G59" s="154" t="n">
        <v>0.5940144554982604</v>
      </c>
      <c r="H59" s="154" t="n">
        <v>0.8675896783395352</v>
      </c>
      <c r="I59" s="153" t="n">
        <v>0.07870912520361861</v>
      </c>
      <c r="J59" s="153" t="n">
        <v>0.2279740263451205</v>
      </c>
      <c r="K59" s="153" t="n">
        <v>0.045043</v>
      </c>
      <c r="L59" s="153" t="n">
        <v>0.4168458779194508</v>
      </c>
      <c r="M59" s="153" t="n">
        <v>0.05998154246718861</v>
      </c>
      <c r="N59" s="154" t="n">
        <v>1.807098113064369</v>
      </c>
      <c r="O59" s="154" t="n">
        <v>1.485115191834699</v>
      </c>
      <c r="P59" s="154" t="n">
        <v>9.281527820103811</v>
      </c>
      <c r="Q59" s="154" t="n">
        <v>14.54846663599944</v>
      </c>
      <c r="R59" s="154" t="n">
        <v>2.961916264256154</v>
      </c>
      <c r="S59" s="154" t="n">
        <v>17.37081838505502</v>
      </c>
      <c r="T59" s="153" t="n">
        <v>0.07671587078451353</v>
      </c>
      <c r="U59" s="153" t="n">
        <v>0.06763321008531213</v>
      </c>
      <c r="V59" s="153" t="n">
        <v>0.03860039272429897</v>
      </c>
      <c r="W59" s="153" t="n">
        <v>0.7032126453291387</v>
      </c>
      <c r="X59" s="153" t="n">
        <v>0.1962277566753363</v>
      </c>
      <c r="Y59" s="153" t="n">
        <v>0.258488287085598</v>
      </c>
      <c r="Z59" s="153" t="n">
        <v>0.258488287085598</v>
      </c>
      <c r="AA59" s="155" t="n">
        <v>0.102086460077536</v>
      </c>
    </row>
    <row r="60" ht="14" customHeight="1">
      <c r="A60" s="152" t="inlineStr">
        <is>
          <t>Paper/Forest Products</t>
        </is>
      </c>
      <c r="B60" s="76" t="n">
        <v>7</v>
      </c>
      <c r="C60" s="153" t="n">
        <v>0.038425</v>
      </c>
      <c r="D60" s="153" t="n">
        <v>0.099619899214932</v>
      </c>
      <c r="E60" s="153" t="n">
        <v>0.1890137369146305</v>
      </c>
      <c r="F60" s="153" t="n">
        <v>0.3091170136396267</v>
      </c>
      <c r="G60" s="154" t="n">
        <v>1.59029256669953</v>
      </c>
      <c r="H60" s="154" t="n">
        <v>1.938223153619078</v>
      </c>
      <c r="I60" s="153" t="n">
        <v>0.1279582650664776</v>
      </c>
      <c r="J60" s="153" t="n">
        <v>0.4303648671191304</v>
      </c>
      <c r="K60" s="153" t="n">
        <v>0.050855</v>
      </c>
      <c r="L60" s="153" t="n">
        <v>0.2720368018915367</v>
      </c>
      <c r="M60" s="153" t="n">
        <v>0.1035247315323491</v>
      </c>
      <c r="N60" s="154" t="n">
        <v>2.138223701466871</v>
      </c>
      <c r="O60" s="154" t="n">
        <v>1.039978868393705</v>
      </c>
      <c r="P60" s="154" t="n">
        <v>7.063368657012814</v>
      </c>
      <c r="Q60" s="154" t="n">
        <v>10.309929699693</v>
      </c>
      <c r="R60" s="154" t="n">
        <v>2.420835985244048</v>
      </c>
      <c r="S60" s="154" t="n">
        <v>19.99026813562913</v>
      </c>
      <c r="T60" s="153" t="n">
        <v>0.1289667246882818</v>
      </c>
      <c r="U60" s="153" t="n">
        <v>0.07590810594104122</v>
      </c>
      <c r="V60" s="153" t="n">
        <v>0.05074715939366563</v>
      </c>
      <c r="W60" s="153" t="n">
        <v>0.9970294005799266</v>
      </c>
      <c r="X60" s="153" t="n">
        <v>0.1516544447144206</v>
      </c>
      <c r="Y60" s="153" t="n">
        <v>0.2757859900717043</v>
      </c>
      <c r="Z60" s="153" t="n">
        <v>0.2757859900717043</v>
      </c>
      <c r="AA60" s="155" t="n">
        <v>0.1014098786076996</v>
      </c>
    </row>
    <row r="61" ht="14" customHeight="1">
      <c r="A61" s="152" t="inlineStr">
        <is>
          <t>Power</t>
        </is>
      </c>
      <c r="B61" s="76" t="n">
        <v>50</v>
      </c>
      <c r="C61" s="153" t="n">
        <v>0.05327999999999999</v>
      </c>
      <c r="D61" s="153" t="n">
        <v>0.1629298885164193</v>
      </c>
      <c r="E61" s="153" t="n">
        <v>0.05783880879545163</v>
      </c>
      <c r="F61" s="153" t="n">
        <v>0.1614032275381408</v>
      </c>
      <c r="G61" s="154" t="n">
        <v>0.3885061927976376</v>
      </c>
      <c r="H61" s="154" t="n">
        <v>0.6506274182981785</v>
      </c>
      <c r="I61" s="153" t="n">
        <v>0.0687288612417162</v>
      </c>
      <c r="J61" s="153" t="n">
        <v>0.2039437012455431</v>
      </c>
      <c r="K61" s="153" t="n">
        <v>0.045043</v>
      </c>
      <c r="L61" s="153" t="n">
        <v>0.481660977932078</v>
      </c>
      <c r="M61" s="153" t="n">
        <v>0.05189644229561903</v>
      </c>
      <c r="N61" s="154" t="n">
        <v>0.4114319764618295</v>
      </c>
      <c r="O61" s="154" t="n">
        <v>3.715385427468343</v>
      </c>
      <c r="P61" s="154" t="n">
        <v>11.69184605859522</v>
      </c>
      <c r="Q61" s="154" t="n">
        <v>22.33991040176153</v>
      </c>
      <c r="R61" s="154" t="n">
        <v>1.711322568710707</v>
      </c>
      <c r="S61" s="154" t="n">
        <v>23.19158205893271</v>
      </c>
      <c r="T61" s="153" t="n">
        <v>0.08255159354511177</v>
      </c>
      <c r="U61" s="153" t="n">
        <v>0.339540895113447</v>
      </c>
      <c r="V61" s="153" t="n">
        <v>0.22702951827874</v>
      </c>
      <c r="W61" s="153" t="n">
        <v>1.734275577152455</v>
      </c>
      <c r="X61" s="153" t="n">
        <v>0.08603363410590081</v>
      </c>
      <c r="Y61" s="153" t="n">
        <v>0.7667440694022755</v>
      </c>
      <c r="Z61" s="153" t="n">
        <v>0.7667440694022755</v>
      </c>
      <c r="AA61" s="155" t="n">
        <v>0.1628701009973793</v>
      </c>
    </row>
    <row r="62" ht="14" customHeight="1">
      <c r="A62" s="152" t="inlineStr">
        <is>
          <t>Precious Metals</t>
        </is>
      </c>
      <c r="B62" s="76" t="n">
        <v>61</v>
      </c>
      <c r="C62" s="153" t="n">
        <v>0.116358</v>
      </c>
      <c r="D62" s="153" t="n">
        <v>0.09481534785916063</v>
      </c>
      <c r="E62" s="153" t="n">
        <v>0.04692969329686256</v>
      </c>
      <c r="F62" s="153" t="n">
        <v>0.2287849364630463</v>
      </c>
      <c r="G62" s="154" t="n">
        <v>0.8300839147546547</v>
      </c>
      <c r="H62" s="154" t="n">
        <v>0.8689509398150602</v>
      </c>
      <c r="I62" s="153" t="n">
        <v>0.07877174323149277</v>
      </c>
      <c r="J62" s="153" t="n">
        <v>0.6360947392798966</v>
      </c>
      <c r="K62" s="153" t="n">
        <v>0.053524</v>
      </c>
      <c r="L62" s="153" t="n">
        <v>0.1319898894017956</v>
      </c>
      <c r="M62" s="153" t="n">
        <v>0.07367313968463768</v>
      </c>
      <c r="N62" s="154" t="n">
        <v>0.5050530432733019</v>
      </c>
      <c r="O62" s="154" t="n">
        <v>3.955802095084481</v>
      </c>
      <c r="P62" s="154" t="n">
        <v>13.0095726200286</v>
      </c>
      <c r="Q62" s="154" t="n">
        <v>40.05647773739665</v>
      </c>
      <c r="R62" s="154" t="n">
        <v>2.036346551311448</v>
      </c>
      <c r="S62" s="154" t="n">
        <v>34.23263944888824</v>
      </c>
      <c r="T62" s="153" t="n">
        <v>0.09832505200986535</v>
      </c>
      <c r="U62" s="153" t="n">
        <v>0.254079702395255</v>
      </c>
      <c r="V62" s="153" t="n">
        <v>0.09540597574989443</v>
      </c>
      <c r="W62" s="153" t="n">
        <v>1.462623173547346</v>
      </c>
      <c r="X62" s="153" t="n">
        <v>-0.02334197000705532</v>
      </c>
      <c r="Y62" s="153" t="n">
        <v>0.008835121692908373</v>
      </c>
      <c r="Z62" s="153" t="n">
        <v>0.008835121692908343</v>
      </c>
      <c r="AA62" s="155" t="n">
        <v>0.09481743243720139</v>
      </c>
    </row>
    <row r="63" ht="14" customHeight="1">
      <c r="A63" s="152" t="inlineStr">
        <is>
          <t>Publishing &amp; Newspapers</t>
        </is>
      </c>
      <c r="B63" s="76" t="n">
        <v>13</v>
      </c>
      <c r="C63" s="153" t="n">
        <v>0.01886888888888889</v>
      </c>
      <c r="D63" s="153" t="n">
        <v>0.07586053639846746</v>
      </c>
      <c r="E63" s="153" t="n">
        <v>0.1174390918908576</v>
      </c>
      <c r="F63" s="153" t="n">
        <v>0.3349672725147566</v>
      </c>
      <c r="G63" s="154" t="n">
        <v>0.8070543748839435</v>
      </c>
      <c r="H63" s="154" t="n">
        <v>0.918223924342923</v>
      </c>
      <c r="I63" s="153" t="n">
        <v>0.08103830051977445</v>
      </c>
      <c r="J63" s="153" t="n">
        <v>0.3101715243939031</v>
      </c>
      <c r="K63" s="153" t="n">
        <v>0.050855</v>
      </c>
      <c r="L63" s="153" t="n">
        <v>0.2232048400352676</v>
      </c>
      <c r="M63" s="153" t="n">
        <v>0.07146347122052339</v>
      </c>
      <c r="N63" s="154" t="n">
        <v>1.80671912659619</v>
      </c>
      <c r="O63" s="154" t="n">
        <v>1.615596487724181</v>
      </c>
      <c r="P63" s="154" t="n">
        <v>11.87491151475038</v>
      </c>
      <c r="Q63" s="154" t="n">
        <v>22.46069224710181</v>
      </c>
      <c r="R63" s="154" t="n">
        <v>2.032732880192326</v>
      </c>
      <c r="S63" s="154" t="n">
        <v>33.96660963797377</v>
      </c>
      <c r="T63" s="153" t="n">
        <v>0.1179985696040868</v>
      </c>
      <c r="U63" s="153" t="n">
        <v>0.03784362707535122</v>
      </c>
      <c r="V63" s="153" t="n">
        <v>-0.01449701149425286</v>
      </c>
      <c r="W63" s="153" t="n">
        <v>-0.1240040433073155</v>
      </c>
      <c r="X63" s="153" t="n">
        <v>0.02538475968322064</v>
      </c>
      <c r="Y63" s="153" t="n">
        <v>0.9608662125690787</v>
      </c>
      <c r="Z63" s="153" t="n">
        <v>0.9608662125690787</v>
      </c>
      <c r="AA63" s="155" t="n">
        <v>0.07262824779360572</v>
      </c>
    </row>
    <row r="64" ht="14" customHeight="1">
      <c r="A64" s="152" t="inlineStr">
        <is>
          <t>R.E.I.T.</t>
        </is>
      </c>
      <c r="B64" s="76" t="n">
        <v>181</v>
      </c>
      <c r="C64" s="153" t="n">
        <v>0.07950618421052631</v>
      </c>
      <c r="D64" s="153" t="n">
        <v>0.2230641936909005</v>
      </c>
      <c r="E64" s="153" t="n">
        <v>0.02604602253380742</v>
      </c>
      <c r="F64" s="153" t="n">
        <v>0.03423555993824276</v>
      </c>
      <c r="G64" s="154" t="n">
        <v>0.6536490727288407</v>
      </c>
      <c r="H64" s="154" t="n">
        <v>1.024170262880998</v>
      </c>
      <c r="I64" s="153" t="n">
        <v>0.08591183209252591</v>
      </c>
      <c r="J64" s="153" t="n">
        <v>0.2359076612910659</v>
      </c>
      <c r="K64" s="153" t="n">
        <v>0.045043</v>
      </c>
      <c r="L64" s="153" t="n">
        <v>0.4437436539441254</v>
      </c>
      <c r="M64" s="153" t="n">
        <v>0.06277966085620822</v>
      </c>
      <c r="N64" s="154" t="n">
        <v>0.1351949215314553</v>
      </c>
      <c r="O64" s="154" t="n">
        <v>11.73651444111149</v>
      </c>
      <c r="P64" s="154" t="n">
        <v>21.91208751815719</v>
      </c>
      <c r="Q64" s="154" t="n">
        <v>53.47915962719974</v>
      </c>
      <c r="R64" s="154" t="n">
        <v>1.98274961033591</v>
      </c>
      <c r="S64" s="154" t="n">
        <v>123.3586409759496</v>
      </c>
      <c r="T64" s="153" t="n">
        <v>1.177706542685959</v>
      </c>
      <c r="U64" s="153" t="n">
        <v>0.02087774923066575</v>
      </c>
      <c r="V64" s="153" t="n">
        <v>-0.1688840631304423</v>
      </c>
      <c r="W64" s="153" t="n">
        <v>-0.8295756076867706</v>
      </c>
      <c r="X64" s="153" t="n">
        <v>0.04154719300739349</v>
      </c>
      <c r="Y64" s="153" t="n">
        <v>2.320757535648835</v>
      </c>
      <c r="Z64" s="153" t="n">
        <v>2.320757535648835</v>
      </c>
      <c r="AA64" s="155" t="n">
        <v>0.196532095316834</v>
      </c>
    </row>
    <row r="65" ht="14" customHeight="1">
      <c r="A65" s="152" t="inlineStr">
        <is>
          <t>Real Estate (Development)</t>
        </is>
      </c>
      <c r="B65" s="76" t="n">
        <v>17</v>
      </c>
      <c r="C65" s="153" t="n">
        <v>0.5556166666666666</v>
      </c>
      <c r="D65" s="153" t="n">
        <v>0.1260895802230371</v>
      </c>
      <c r="E65" s="153" t="n">
        <v>0.02928704248506175</v>
      </c>
      <c r="F65" s="153" t="n">
        <v>0.2425935781444031</v>
      </c>
      <c r="G65" s="154" t="n">
        <v>0.4314363177605709</v>
      </c>
      <c r="H65" s="154" t="n">
        <v>0.6685940614079962</v>
      </c>
      <c r="I65" s="153" t="n">
        <v>0.06955532682476782</v>
      </c>
      <c r="J65" s="153" t="n">
        <v>0.3424003701471713</v>
      </c>
      <c r="K65" s="153" t="n">
        <v>0.050855</v>
      </c>
      <c r="L65" s="153" t="n">
        <v>0.484795077605791</v>
      </c>
      <c r="M65" s="153" t="n">
        <v>0.05432593701259023</v>
      </c>
      <c r="N65" s="154" t="n">
        <v>0.266326913189703</v>
      </c>
      <c r="O65" s="154" t="n">
        <v>4.382629372614688</v>
      </c>
      <c r="P65" s="154" t="n">
        <v>17.93205737756681</v>
      </c>
      <c r="Q65" s="154" t="n">
        <v>36.27113115271928</v>
      </c>
      <c r="R65" s="154" t="n">
        <v>1.35143475976419</v>
      </c>
      <c r="S65" s="154" t="n">
        <v>8.022117698323951</v>
      </c>
      <c r="T65" s="153" t="n">
        <v>0.04078481886311249</v>
      </c>
      <c r="U65" s="153" t="n">
        <v>0.02541914029412253</v>
      </c>
      <c r="V65" s="153" t="n">
        <v>-0.05928807510108271</v>
      </c>
      <c r="W65" s="153" t="n">
        <v>-0.9727120811775142</v>
      </c>
      <c r="X65" s="153" t="n">
        <v>-0.08538037893418758</v>
      </c>
      <c r="Y65" s="153" t="n">
        <v>0</v>
      </c>
      <c r="Z65" s="153" t="n">
        <v>0</v>
      </c>
      <c r="AA65" s="155" t="n">
        <v>0.1115867623377869</v>
      </c>
    </row>
    <row r="66" ht="14" customHeight="1">
      <c r="A66" s="152" t="inlineStr">
        <is>
          <t>Real Estate (General/Diversified)</t>
        </is>
      </c>
      <c r="B66" s="76" t="n">
        <v>11</v>
      </c>
      <c r="C66" s="153" t="n">
        <v>0.09080400000000001</v>
      </c>
      <c r="D66" s="153" t="n">
        <v>0.1613182643128197</v>
      </c>
      <c r="E66" s="153" t="n">
        <v>0.05312220372276945</v>
      </c>
      <c r="F66" s="153" t="n">
        <v>0.1740009502190783</v>
      </c>
      <c r="G66" s="154" t="n">
        <v>0.5125267518181463</v>
      </c>
      <c r="H66" s="154" t="n">
        <v>0.5635722376636395</v>
      </c>
      <c r="I66" s="153" t="n">
        <v>0.06472432293252742</v>
      </c>
      <c r="J66" s="153" t="n">
        <v>0.3590709654147857</v>
      </c>
      <c r="K66" s="153" t="n">
        <v>0.050855</v>
      </c>
      <c r="L66" s="153" t="n">
        <v>0.2417147019244635</v>
      </c>
      <c r="M66" s="153" t="n">
        <v>0.05829880338240528</v>
      </c>
      <c r="N66" s="154" t="n">
        <v>0.372420412334813</v>
      </c>
      <c r="O66" s="154" t="n">
        <v>4.778840644215548</v>
      </c>
      <c r="P66" s="154" t="n">
        <v>18.00915939759539</v>
      </c>
      <c r="Q66" s="154" t="n">
        <v>28.43866802474234</v>
      </c>
      <c r="R66" s="154" t="n">
        <v>1.247069182706843</v>
      </c>
      <c r="S66" s="154" t="n">
        <v>33.2262308257929</v>
      </c>
      <c r="T66" s="153" t="n">
        <v>2.012999505032173</v>
      </c>
      <c r="U66" s="153" t="n">
        <v>0.02840372875763075</v>
      </c>
      <c r="V66" s="153" t="n">
        <v>-0.05135951163174395</v>
      </c>
      <c r="W66" s="153" t="n">
        <v>-0.5941237825780336</v>
      </c>
      <c r="X66" s="153" t="n">
        <v>0.09109205615781056</v>
      </c>
      <c r="Y66" s="153" t="n">
        <v>0.2492318197336975</v>
      </c>
      <c r="Z66" s="153" t="n">
        <v>0.2492318197336976</v>
      </c>
      <c r="AA66" s="155" t="n">
        <v>0.1643542931994576</v>
      </c>
    </row>
    <row r="67" ht="14" customHeight="1">
      <c r="A67" s="152" t="inlineStr">
        <is>
          <t>Real Estate (Operations &amp; Services)</t>
        </is>
      </c>
      <c r="B67" s="76" t="n">
        <v>60</v>
      </c>
      <c r="C67" s="153" t="n">
        <v>0.05439266666666667</v>
      </c>
      <c r="D67" s="153" t="n">
        <v>-0.002835703571759582</v>
      </c>
      <c r="E67" s="153" t="n">
        <v>0.0006711915964746503</v>
      </c>
      <c r="F67" s="153" t="n">
        <v>0.1803527824362637</v>
      </c>
      <c r="G67" s="154" t="n">
        <v>0.8828463853207577</v>
      </c>
      <c r="H67" s="154" t="n">
        <v>1.080118893616261</v>
      </c>
      <c r="I67" s="153" t="n">
        <v>0.088485469106348</v>
      </c>
      <c r="J67" s="153" t="n">
        <v>0.4419222889349552</v>
      </c>
      <c r="K67" s="153" t="n">
        <v>0.050855</v>
      </c>
      <c r="L67" s="153" t="n">
        <v>0.3082714813242523</v>
      </c>
      <c r="M67" s="153" t="n">
        <v>0.07296578210632138</v>
      </c>
      <c r="N67" s="154" t="n">
        <v>1.44524314073108</v>
      </c>
      <c r="O67" s="154" t="n">
        <v>1.507422034874661</v>
      </c>
      <c r="P67" s="154" t="n">
        <v>14.98193053219756</v>
      </c>
      <c r="Q67" s="154" t="inlineStr">
        <is>
          <t>NA</t>
        </is>
      </c>
      <c r="R67" s="154" t="n">
        <v>2.872150237911332</v>
      </c>
      <c r="S67" s="154" t="n">
        <v>104.2360479226998</v>
      </c>
      <c r="T67" s="153" t="n">
        <v>0.09693828006851661</v>
      </c>
      <c r="U67" s="153" t="n">
        <v>0.01303095603478153</v>
      </c>
      <c r="V67" s="153" t="n">
        <v>-0.01166064844331973</v>
      </c>
      <c r="W67" s="153" t="inlineStr">
        <is>
          <t>NA</t>
        </is>
      </c>
      <c r="X67" s="153" t="n">
        <v>-0.08269945359431624</v>
      </c>
      <c r="Y67" s="153" t="n">
        <v>0.007618846133805902</v>
      </c>
      <c r="Z67" s="153" t="n">
        <v>0.007618846133805923</v>
      </c>
      <c r="AA67" s="155" t="n">
        <v>0.0004865277718222755</v>
      </c>
    </row>
    <row r="68" ht="14" customHeight="1">
      <c r="A68" s="152" t="inlineStr">
        <is>
          <t>Recreation</t>
        </is>
      </c>
      <c r="B68" s="76" t="n">
        <v>55</v>
      </c>
      <c r="C68" s="153" t="n">
        <v>0.1095186206896552</v>
      </c>
      <c r="D68" s="153" t="n">
        <v>0.09659043658909008</v>
      </c>
      <c r="E68" s="153" t="n">
        <v>0.09536754171130633</v>
      </c>
      <c r="F68" s="153" t="n">
        <v>0.2790897385078625</v>
      </c>
      <c r="G68" s="154" t="n">
        <v>0.8488780060557483</v>
      </c>
      <c r="H68" s="154" t="n">
        <v>1.17128693009822</v>
      </c>
      <c r="I68" s="153" t="n">
        <v>0.09267919878451812</v>
      </c>
      <c r="J68" s="153" t="n">
        <v>0.4429522114939097</v>
      </c>
      <c r="K68" s="153" t="n">
        <v>0.050855</v>
      </c>
      <c r="L68" s="153" t="n">
        <v>0.3693821811903066</v>
      </c>
      <c r="M68" s="153" t="n">
        <v>0.07253385230484759</v>
      </c>
      <c r="N68" s="154" t="n">
        <v>1.28318501683349</v>
      </c>
      <c r="O68" s="154" t="n">
        <v>1.842111888320432</v>
      </c>
      <c r="P68" s="154" t="n">
        <v>9.987389449844031</v>
      </c>
      <c r="Q68" s="154" t="n">
        <v>21.71796210872423</v>
      </c>
      <c r="R68" s="154" t="n">
        <v>3.459623145163558</v>
      </c>
      <c r="S68" s="154" t="n">
        <v>27.70011557420627</v>
      </c>
      <c r="T68" s="153" t="n">
        <v>0.1803779403390765</v>
      </c>
      <c r="U68" s="153" t="n">
        <v>0.07111560994338362</v>
      </c>
      <c r="V68" s="153" t="n">
        <v>0.03210092307955358</v>
      </c>
      <c r="W68" s="153" t="n">
        <v>0.5615834278229958</v>
      </c>
      <c r="X68" s="153" t="n">
        <v>0.02562662960453015</v>
      </c>
      <c r="Y68" s="153" t="n">
        <v>1.995851336572423</v>
      </c>
      <c r="Z68" s="153" t="n">
        <v>1.995851336572423</v>
      </c>
      <c r="AA68" s="155" t="n">
        <v>0.0810090946051851</v>
      </c>
    </row>
    <row r="69" ht="14" customHeight="1">
      <c r="A69" s="152" t="inlineStr">
        <is>
          <t>Reinsurance</t>
        </is>
      </c>
      <c r="B69" s="76" t="n">
        <v>1</v>
      </c>
      <c r="C69" s="153" t="n">
        <v>0.06950000000000001</v>
      </c>
      <c r="D69" s="153" t="n">
        <v>0.0965567194116336</v>
      </c>
      <c r="E69" s="153" t="n">
        <v>0.3011691007339907</v>
      </c>
      <c r="F69" s="153" t="n">
        <v>0.2295302013422819</v>
      </c>
      <c r="G69" s="154" t="n">
        <v>0.6098509183978317</v>
      </c>
      <c r="H69" s="154" t="n">
        <v>0.6551440260520247</v>
      </c>
      <c r="I69" s="153" t="n">
        <v>0.06893662519839314</v>
      </c>
      <c r="J69" s="153" t="n">
        <v>0.1709402903271866</v>
      </c>
      <c r="K69" s="153" t="n">
        <v>0.045043</v>
      </c>
      <c r="L69" s="153" t="n">
        <v>0.2984245857127374</v>
      </c>
      <c r="M69" s="153" t="n">
        <v>0.05844569534382253</v>
      </c>
      <c r="N69" s="154" t="n">
        <v>4.048441545907466</v>
      </c>
      <c r="O69" s="154" t="n">
        <v>0.6896317635240171</v>
      </c>
      <c r="P69" s="154" t="n">
        <v>7.283030827731133</v>
      </c>
      <c r="Q69" s="154" t="n">
        <v>7.142501442962344</v>
      </c>
      <c r="R69" s="154" t="n">
        <v>1.307764013246658</v>
      </c>
      <c r="S69" s="154" t="n">
        <v>9.344609991235759</v>
      </c>
      <c r="T69" s="153" t="n">
        <v>0.1709382661020727</v>
      </c>
      <c r="U69" s="153" t="n">
        <v>0.001448629373746378</v>
      </c>
      <c r="V69" s="153" t="n">
        <v>0.04326387341207934</v>
      </c>
      <c r="W69" s="153" t="n">
        <v>0.7560799531674074</v>
      </c>
      <c r="X69" s="153" t="n">
        <v>0.3123460169723515</v>
      </c>
      <c r="Y69" s="153" t="n">
        <v>0.189307624890447</v>
      </c>
      <c r="Z69" s="153" t="n">
        <v>0.1893076248904469</v>
      </c>
      <c r="AA69" s="155" t="n">
        <v>0.09655325505093537</v>
      </c>
    </row>
    <row r="70" ht="14" customHeight="1">
      <c r="A70" s="152" t="inlineStr">
        <is>
          <t>Restaurant/Dining</t>
        </is>
      </c>
      <c r="B70" s="76" t="n">
        <v>64</v>
      </c>
      <c r="C70" s="153" t="n">
        <v>0.06796000000000001</v>
      </c>
      <c r="D70" s="153" t="n">
        <v>0.1580022591623619</v>
      </c>
      <c r="E70" s="153" t="n">
        <v>0.1955755294283781</v>
      </c>
      <c r="F70" s="153" t="n">
        <v>0.1996784642471829</v>
      </c>
      <c r="G70" s="154" t="n">
        <v>1.024327695129639</v>
      </c>
      <c r="H70" s="154" t="n">
        <v>1.194577320424228</v>
      </c>
      <c r="I70" s="153" t="n">
        <v>0.09375055673951449</v>
      </c>
      <c r="J70" s="153" t="n">
        <v>0.3537231064307725</v>
      </c>
      <c r="K70" s="153" t="n">
        <v>0.050855</v>
      </c>
      <c r="L70" s="153" t="n">
        <v>0.2046260851650984</v>
      </c>
      <c r="M70" s="153" t="n">
        <v>0.08237144200266251</v>
      </c>
      <c r="N70" s="154" t="n">
        <v>1.619689015651892</v>
      </c>
      <c r="O70" s="154" t="n">
        <v>4.194361595858457</v>
      </c>
      <c r="P70" s="154" t="n">
        <v>16.59891044357143</v>
      </c>
      <c r="Q70" s="154" t="n">
        <v>29.33302069446056</v>
      </c>
      <c r="R70" s="154" t="inlineStr">
        <is>
          <t>NA</t>
        </is>
      </c>
      <c r="S70" s="154" t="n">
        <v>94.18909813240215</v>
      </c>
      <c r="T70" s="153" t="n">
        <v>0.00860428879008023</v>
      </c>
      <c r="U70" s="153" t="n">
        <v>0.05794402610284526</v>
      </c>
      <c r="V70" s="153" t="n">
        <v>0.03572268537099506</v>
      </c>
      <c r="W70" s="153" t="n">
        <v>0.3451108324184372</v>
      </c>
      <c r="X70" s="153" t="inlineStr">
        <is>
          <t>NA</t>
        </is>
      </c>
      <c r="Y70" s="153" t="n">
        <v>0.5307559895574028</v>
      </c>
      <c r="Z70" s="153" t="n">
        <v>0.5307559895574028</v>
      </c>
      <c r="AA70" s="155" t="n">
        <v>0.136140643382799</v>
      </c>
    </row>
    <row r="71" ht="14" customHeight="1">
      <c r="A71" s="152" t="inlineStr">
        <is>
          <t>Retail (Automotive)</t>
        </is>
      </c>
      <c r="B71" s="76" t="n">
        <v>30</v>
      </c>
      <c r="C71" s="153" t="n">
        <v>0.1749863636363637</v>
      </c>
      <c r="D71" s="153" t="n">
        <v>0.06175620642981021</v>
      </c>
      <c r="E71" s="153" t="n">
        <v>0.131954811583009</v>
      </c>
      <c r="F71" s="153" t="n">
        <v>0.2375148578016353</v>
      </c>
      <c r="G71" s="154" t="n">
        <v>1.058764305334687</v>
      </c>
      <c r="H71" s="154" t="n">
        <v>1.49449595008239</v>
      </c>
      <c r="I71" s="153" t="n">
        <v>0.10754681370379</v>
      </c>
      <c r="J71" s="153" t="n">
        <v>0.4678757495981398</v>
      </c>
      <c r="K71" s="153" t="n">
        <v>0.050855</v>
      </c>
      <c r="L71" s="153" t="n">
        <v>0.3651324749998421</v>
      </c>
      <c r="M71" s="153" t="n">
        <v>0.08220458844986592</v>
      </c>
      <c r="N71" s="154" t="n">
        <v>2.669833787404534</v>
      </c>
      <c r="O71" s="154" t="n">
        <v>1.049476016950808</v>
      </c>
      <c r="P71" s="154" t="n">
        <v>11.62572140705931</v>
      </c>
      <c r="Q71" s="154" t="n">
        <v>17.42446643283376</v>
      </c>
      <c r="R71" s="154" t="n">
        <v>6.970114730862488</v>
      </c>
      <c r="S71" s="154" t="n">
        <v>17.88872792375451</v>
      </c>
      <c r="T71" s="153" t="n">
        <v>0.09983369799408429</v>
      </c>
      <c r="U71" s="153" t="n">
        <v>0.01906637104059</v>
      </c>
      <c r="V71" s="153" t="n">
        <v>0.02176260309883499</v>
      </c>
      <c r="W71" s="153" t="n">
        <v>0.7134611678555867</v>
      </c>
      <c r="X71" s="153" t="n">
        <v>0.4732854552615435</v>
      </c>
      <c r="Y71" s="153" t="n">
        <v>0.05794159749803761</v>
      </c>
      <c r="Z71" s="153" t="n">
        <v>0.05794159749803762</v>
      </c>
      <c r="AA71" s="155" t="n">
        <v>0.05713004978601229</v>
      </c>
    </row>
    <row r="72" ht="14" customHeight="1">
      <c r="A72" s="152" t="inlineStr">
        <is>
          <t>Retail (Building Supply)</t>
        </is>
      </c>
      <c r="B72" s="76" t="n">
        <v>16</v>
      </c>
      <c r="C72" s="153" t="n">
        <v>0.08905384615384616</v>
      </c>
      <c r="D72" s="153" t="n">
        <v>0.1251381557717642</v>
      </c>
      <c r="E72" s="153" t="n">
        <v>0.3942610101106331</v>
      </c>
      <c r="F72" s="153" t="n">
        <v>0.2404074884375638</v>
      </c>
      <c r="G72" s="154" t="n">
        <v>1.704153179546406</v>
      </c>
      <c r="H72" s="154" t="n">
        <v>1.93817856970715</v>
      </c>
      <c r="I72" s="153" t="n">
        <v>0.1279562142065289</v>
      </c>
      <c r="J72" s="153" t="n">
        <v>0.4521058266464563</v>
      </c>
      <c r="K72" s="153" t="n">
        <v>0.050855</v>
      </c>
      <c r="L72" s="153" t="n">
        <v>0.1661303537037588</v>
      </c>
      <c r="M72" s="153" t="n">
        <v>0.1130352224350078</v>
      </c>
      <c r="N72" s="154" t="n">
        <v>3.641816586745592</v>
      </c>
      <c r="O72" s="154" t="n">
        <v>2.169932476442798</v>
      </c>
      <c r="P72" s="154" t="n">
        <v>13.33190191072917</v>
      </c>
      <c r="Q72" s="154" t="n">
        <v>17.19076108032302</v>
      </c>
      <c r="R72" s="154" t="inlineStr">
        <is>
          <t>NA</t>
        </is>
      </c>
      <c r="S72" s="154" t="n">
        <v>27.87080707923468</v>
      </c>
      <c r="T72" s="153" t="n">
        <v>0.08469682764457319</v>
      </c>
      <c r="U72" s="153" t="n">
        <v>0.02427846779240797</v>
      </c>
      <c r="V72" s="153" t="n">
        <v>0.008484963589781638</v>
      </c>
      <c r="W72" s="153" t="n">
        <v>0.02333733756000128</v>
      </c>
      <c r="X72" s="153" t="inlineStr">
        <is>
          <t>NA</t>
        </is>
      </c>
      <c r="Y72" s="153" t="n">
        <v>0.4664474181821869</v>
      </c>
      <c r="Z72" s="153" t="n">
        <v>0.4664474181821869</v>
      </c>
      <c r="AA72" s="155" t="n">
        <v>0.1238432505090802</v>
      </c>
    </row>
    <row r="73" ht="14" customHeight="1">
      <c r="A73" s="152" t="inlineStr">
        <is>
          <t>Retail (Distributors)</t>
        </is>
      </c>
      <c r="B73" s="76" t="n">
        <v>62</v>
      </c>
      <c r="C73" s="153" t="n">
        <v>0.05805459459459458</v>
      </c>
      <c r="D73" s="153" t="n">
        <v>0.1195321368863086</v>
      </c>
      <c r="E73" s="153" t="n">
        <v>0.186085879254954</v>
      </c>
      <c r="F73" s="153" t="n">
        <v>0.2344986694008294</v>
      </c>
      <c r="G73" s="154" t="n">
        <v>0.9093255538405173</v>
      </c>
      <c r="H73" s="154" t="n">
        <v>1.106042693037566</v>
      </c>
      <c r="I73" s="153" t="n">
        <v>0.08967796387972804</v>
      </c>
      <c r="J73" s="153" t="n">
        <v>0.3773575043818359</v>
      </c>
      <c r="K73" s="153" t="n">
        <v>0.050855</v>
      </c>
      <c r="L73" s="153" t="n">
        <v>0.2440890919589331</v>
      </c>
      <c r="M73" s="153" t="n">
        <v>0.07709841418627789</v>
      </c>
      <c r="N73" s="154" t="n">
        <v>1.815657383562862</v>
      </c>
      <c r="O73" s="154" t="n">
        <v>1.813078112372955</v>
      </c>
      <c r="P73" s="154" t="n">
        <v>11.63287329638533</v>
      </c>
      <c r="Q73" s="154" t="n">
        <v>13.82274973559513</v>
      </c>
      <c r="R73" s="154" t="n">
        <v>4.030387228576006</v>
      </c>
      <c r="S73" s="154" t="n">
        <v>28.90831435812814</v>
      </c>
      <c r="T73" s="153" t="n">
        <v>0.1741550465883109</v>
      </c>
      <c r="U73" s="153" t="n">
        <v>0.0625565357934217</v>
      </c>
      <c r="V73" s="153" t="n">
        <v>0.09215106410353111</v>
      </c>
      <c r="W73" s="153" t="n">
        <v>1.037503624457506</v>
      </c>
      <c r="X73" s="153" t="n">
        <v>0.2545162298582571</v>
      </c>
      <c r="Y73" s="153" t="n">
        <v>0.2522053106672775</v>
      </c>
      <c r="Z73" s="153" t="n">
        <v>0.2522053106672775</v>
      </c>
      <c r="AA73" s="155" t="n">
        <v>0.121685531334811</v>
      </c>
    </row>
    <row r="74" ht="14" customHeight="1">
      <c r="A74" s="152" t="inlineStr">
        <is>
          <t>Retail (General)</t>
        </is>
      </c>
      <c r="B74" s="76" t="n">
        <v>26</v>
      </c>
      <c r="C74" s="153" t="n">
        <v>0.1806305263157894</v>
      </c>
      <c r="D74" s="153" t="n">
        <v>0.04413396805800705</v>
      </c>
      <c r="E74" s="153" t="n">
        <v>0.0989299380525086</v>
      </c>
      <c r="F74" s="153" t="n">
        <v>0.2172123716556682</v>
      </c>
      <c r="G74" s="154" t="n">
        <v>1.171062908717729</v>
      </c>
      <c r="H74" s="154" t="n">
        <v>1.246677051343424</v>
      </c>
      <c r="I74" s="153" t="n">
        <v>0.09614714436179748</v>
      </c>
      <c r="J74" s="153" t="n">
        <v>0.3828319887381613</v>
      </c>
      <c r="K74" s="153" t="n">
        <v>0.050855</v>
      </c>
      <c r="L74" s="153" t="n">
        <v>0.1183525185747442</v>
      </c>
      <c r="M74" s="153" t="n">
        <v>0.0892820006718982</v>
      </c>
      <c r="N74" s="154" t="n">
        <v>2.411559428998697</v>
      </c>
      <c r="O74" s="154" t="n">
        <v>1.568848340002672</v>
      </c>
      <c r="P74" s="154" t="n">
        <v>16.63129575259254</v>
      </c>
      <c r="Q74" s="154" t="n">
        <v>38.46582980994355</v>
      </c>
      <c r="R74" s="154" t="n">
        <v>7.24228550393011</v>
      </c>
      <c r="S74" s="154" t="n">
        <v>29.84401634296881</v>
      </c>
      <c r="T74" s="153" t="n">
        <v>0.007687613623918548</v>
      </c>
      <c r="U74" s="153" t="n">
        <v>0.05200966480677357</v>
      </c>
      <c r="V74" s="153" t="n">
        <v>0.0228202279376521</v>
      </c>
      <c r="W74" s="153" t="n">
        <v>0.794478336472149</v>
      </c>
      <c r="X74" s="153" t="n">
        <v>0.1955014547502191</v>
      </c>
      <c r="Y74" s="153" t="n">
        <v>0.2174472306002296</v>
      </c>
      <c r="Z74" s="153" t="n">
        <v>0.2174472306002295</v>
      </c>
      <c r="AA74" s="155" t="n">
        <v>0.04696703491105394</v>
      </c>
    </row>
    <row r="75" ht="14" customHeight="1">
      <c r="A75" s="152" t="inlineStr">
        <is>
          <t>Retail (Grocery and Food)</t>
        </is>
      </c>
      <c r="B75" s="76" t="n">
        <v>14</v>
      </c>
      <c r="C75" s="153" t="n">
        <v>0.0659125</v>
      </c>
      <c r="D75" s="153" t="n">
        <v>0.02422559685396525</v>
      </c>
      <c r="E75" s="153" t="n">
        <v>0.1098924546672575</v>
      </c>
      <c r="F75" s="153" t="n">
        <v>0.2291192907409963</v>
      </c>
      <c r="G75" s="154" t="n">
        <v>0.364761149065977</v>
      </c>
      <c r="H75" s="154" t="n">
        <v>0.4936080595618046</v>
      </c>
      <c r="I75" s="153" t="n">
        <v>0.06150597073984301</v>
      </c>
      <c r="J75" s="153" t="n">
        <v>0.2564792694771286</v>
      </c>
      <c r="K75" s="153" t="n">
        <v>0.050855</v>
      </c>
      <c r="L75" s="153" t="n">
        <v>0.3583171007091241</v>
      </c>
      <c r="M75" s="153" t="n">
        <v>0.05313399174546412</v>
      </c>
      <c r="N75" s="154" t="n">
        <v>4.75644637935626</v>
      </c>
      <c r="O75" s="154" t="n">
        <v>0.4125213111332912</v>
      </c>
      <c r="P75" s="154" t="n">
        <v>6.379804822101389</v>
      </c>
      <c r="Q75" s="154" t="n">
        <v>19.8049209510925</v>
      </c>
      <c r="R75" s="154" t="n">
        <v>2.903171334143174</v>
      </c>
      <c r="S75" s="154" t="n">
        <v>16.75768324724196</v>
      </c>
      <c r="T75" s="153" t="n">
        <v>-0.00243238992810026</v>
      </c>
      <c r="U75" s="153" t="n">
        <v>0.02663351532499427</v>
      </c>
      <c r="V75" s="153" t="n">
        <v>0.01326060238245387</v>
      </c>
      <c r="W75" s="153" t="n">
        <v>1.142822309661606</v>
      </c>
      <c r="X75" s="153" t="n">
        <v>0.1477760349044742</v>
      </c>
      <c r="Y75" s="153" t="n">
        <v>0.3692401555065788</v>
      </c>
      <c r="Z75" s="153" t="n">
        <v>0.3692401555065787</v>
      </c>
      <c r="AA75" s="155" t="n">
        <v>0.02647363207643566</v>
      </c>
    </row>
    <row r="76" ht="14" customHeight="1">
      <c r="A76" s="152" t="inlineStr">
        <is>
          <t>Retail (REITs)</t>
        </is>
      </c>
      <c r="B76" s="76" t="n">
        <v>28</v>
      </c>
      <c r="C76" s="153" t="n">
        <v>0.04110185185185184</v>
      </c>
      <c r="D76" s="153" t="n">
        <v>0.3674509704384317</v>
      </c>
      <c r="E76" s="153" t="n">
        <v>0.04458562834006221</v>
      </c>
      <c r="F76" s="153" t="n">
        <v>0.04201930358888443</v>
      </c>
      <c r="G76" s="154" t="n">
        <v>0.7866747019034875</v>
      </c>
      <c r="H76" s="154" t="n">
        <v>1.120867766031394</v>
      </c>
      <c r="I76" s="153" t="n">
        <v>0.09035991723744412</v>
      </c>
      <c r="J76" s="153" t="n">
        <v>0.2071800200543422</v>
      </c>
      <c r="K76" s="153" t="n">
        <v>0.045043</v>
      </c>
      <c r="L76" s="153" t="n">
        <v>0.3704237650886057</v>
      </c>
      <c r="M76" s="153" t="n">
        <v>0.06940220471941981</v>
      </c>
      <c r="N76" s="154" t="n">
        <v>0.1306598142677843</v>
      </c>
      <c r="O76" s="154" t="n">
        <v>12.15198899179944</v>
      </c>
      <c r="P76" s="154" t="n">
        <v>17.43187386134665</v>
      </c>
      <c r="Q76" s="154" t="n">
        <v>34.71101000076249</v>
      </c>
      <c r="R76" s="154" t="n">
        <v>1.935671992381758</v>
      </c>
      <c r="S76" s="154" t="n">
        <v>74.0905042250849</v>
      </c>
      <c r="T76" s="153" t="n">
        <v>-0.09870898691980977</v>
      </c>
      <c r="U76" s="153" t="n">
        <v>0.05167863850956901</v>
      </c>
      <c r="V76" s="153" t="n">
        <v>-0.2652596155473204</v>
      </c>
      <c r="W76" s="153" t="n">
        <v>-0.8180364327949872</v>
      </c>
      <c r="X76" s="153" t="n">
        <v>0.06523063162826355</v>
      </c>
      <c r="Y76" s="153" t="n">
        <v>1.555723504510681</v>
      </c>
      <c r="Z76" s="153" t="n">
        <v>1.555723504510681</v>
      </c>
      <c r="AA76" s="155" t="n">
        <v>0.3500970998582947</v>
      </c>
    </row>
    <row r="77" ht="14" customHeight="1">
      <c r="A77" s="152" t="inlineStr">
        <is>
          <t>Retail (Special Lines)</t>
        </is>
      </c>
      <c r="B77" s="76" t="n">
        <v>105</v>
      </c>
      <c r="C77" s="153" t="n">
        <v>0.1207196774193549</v>
      </c>
      <c r="D77" s="153" t="n">
        <v>0.04617263081820448</v>
      </c>
      <c r="E77" s="153" t="n">
        <v>0.1349934598958494</v>
      </c>
      <c r="F77" s="153" t="n">
        <v>0.2471498314703115</v>
      </c>
      <c r="G77" s="154" t="n">
        <v>0.9730692183120843</v>
      </c>
      <c r="H77" s="154" t="n">
        <v>1.181405746227867</v>
      </c>
      <c r="I77" s="153" t="n">
        <v>0.09314466432648186</v>
      </c>
      <c r="J77" s="153" t="n">
        <v>0.4400785368755131</v>
      </c>
      <c r="K77" s="153" t="n">
        <v>0.050855</v>
      </c>
      <c r="L77" s="153" t="n">
        <v>0.2655200484001674</v>
      </c>
      <c r="M77" s="153" t="n">
        <v>0.07854015509233994</v>
      </c>
      <c r="N77" s="154" t="n">
        <v>3.109000063867704</v>
      </c>
      <c r="O77" s="154" t="n">
        <v>0.983570844924985</v>
      </c>
      <c r="P77" s="154" t="n">
        <v>9.341548558904895</v>
      </c>
      <c r="Q77" s="154" t="n">
        <v>20.31756984639764</v>
      </c>
      <c r="R77" s="154" t="n">
        <v>4.778606562878069</v>
      </c>
      <c r="S77" s="154" t="n">
        <v>48.78837652846057</v>
      </c>
      <c r="T77" s="153" t="n">
        <v>0.05059926189471051</v>
      </c>
      <c r="U77" s="153" t="n">
        <v>0.02588926922351027</v>
      </c>
      <c r="V77" s="153" t="n">
        <v>0.02662234930758543</v>
      </c>
      <c r="W77" s="153" t="n">
        <v>0.5523015624992001</v>
      </c>
      <c r="X77" s="153" t="n">
        <v>0.09643878418310899</v>
      </c>
      <c r="Y77" s="153" t="n">
        <v>0.8704265485497078</v>
      </c>
      <c r="Z77" s="153" t="n">
        <v>0.8704265485497078</v>
      </c>
      <c r="AA77" s="155" t="n">
        <v>0.0479816113263796</v>
      </c>
    </row>
    <row r="78" ht="14" customHeight="1">
      <c r="A78" s="152" t="inlineStr">
        <is>
          <t>Rubber&amp; Tires</t>
        </is>
      </c>
      <c r="B78" s="76" t="n">
        <v>3</v>
      </c>
      <c r="C78" s="153" t="n">
        <v>0.0902</v>
      </c>
      <c r="D78" s="153" t="n">
        <v>0.01844512344890601</v>
      </c>
      <c r="E78" s="153" t="n">
        <v>0.03124092719979871</v>
      </c>
      <c r="F78" s="153" t="e">
        <v>#DIV/0!</v>
      </c>
      <c r="G78" s="154" t="n">
        <v>0.2631693312501914</v>
      </c>
      <c r="H78" s="154" t="n">
        <v>0.674519769567508</v>
      </c>
      <c r="I78" s="153" t="n">
        <v>0.06982790940010537</v>
      </c>
      <c r="J78" s="153" t="n">
        <v>0.4077252655256018</v>
      </c>
      <c r="K78" s="153" t="n">
        <v>0.050855</v>
      </c>
      <c r="L78" s="153" t="n">
        <v>0.7017405533587942</v>
      </c>
      <c r="M78" s="153" t="n">
        <v>0.04759209549858379</v>
      </c>
      <c r="N78" s="154" t="n">
        <v>1.448404769384437</v>
      </c>
      <c r="O78" s="154" t="n">
        <v>0.6282869174808124</v>
      </c>
      <c r="P78" s="154" t="n">
        <v>7.94758657142281</v>
      </c>
      <c r="Q78" s="154" t="n">
        <v>29.77757264937841</v>
      </c>
      <c r="R78" s="154" t="n">
        <v>0.78946449471402</v>
      </c>
      <c r="S78" s="154" t="e">
        <v>#DIV/0!</v>
      </c>
      <c r="T78" s="153" t="n">
        <v>0.1069421219653577</v>
      </c>
      <c r="U78" s="153" t="n">
        <v>0.05418679936728137</v>
      </c>
      <c r="V78" s="153" t="n">
        <v>0.00706289851939911</v>
      </c>
      <c r="W78" s="153" t="n">
        <v>-0.3200268060602408</v>
      </c>
      <c r="X78" s="153" t="n">
        <v>-0.09998055231427461</v>
      </c>
      <c r="Y78" s="153" t="e">
        <v>#DIV/0!</v>
      </c>
      <c r="Z78" s="153" t="e">
        <v>#DIV/0!</v>
      </c>
      <c r="AA78" s="155" t="n">
        <v>0.02156919658106063</v>
      </c>
    </row>
    <row r="79" ht="14" customHeight="1">
      <c r="A79" s="152" t="inlineStr">
        <is>
          <t>Semiconductor</t>
        </is>
      </c>
      <c r="B79" s="76" t="n">
        <v>63</v>
      </c>
      <c r="C79" s="153" t="n">
        <v>0.06441162790697674</v>
      </c>
      <c r="D79" s="153" t="n">
        <v>0.197119756350609</v>
      </c>
      <c r="E79" s="153" t="n">
        <v>0.1136835839176871</v>
      </c>
      <c r="F79" s="153" t="n">
        <v>0.0930926705083394</v>
      </c>
      <c r="G79" s="154" t="n">
        <v>1.460244593924559</v>
      </c>
      <c r="H79" s="154" t="n">
        <v>1.495241185083536</v>
      </c>
      <c r="I79" s="153" t="n">
        <v>0.1075810945138427</v>
      </c>
      <c r="J79" s="153" t="n">
        <v>0.4147143445700453</v>
      </c>
      <c r="K79" s="153" t="n">
        <v>0.050855</v>
      </c>
      <c r="L79" s="153" t="n">
        <v>0.05700810294721246</v>
      </c>
      <c r="M79" s="153" t="n">
        <v>0.1036224607091591</v>
      </c>
      <c r="N79" s="154" t="n">
        <v>0.5807292092301813</v>
      </c>
      <c r="O79" s="154" t="n">
        <v>10.59672293209309</v>
      </c>
      <c r="P79" s="154" t="n">
        <v>31.5944471383616</v>
      </c>
      <c r="Q79" s="154" t="n">
        <v>53.31500418222905</v>
      </c>
      <c r="R79" s="154" t="n">
        <v>7.38179145503603</v>
      </c>
      <c r="S79" s="154" t="n">
        <v>82.75051639049542</v>
      </c>
      <c r="T79" s="153" t="n">
        <v>0.2240302287823766</v>
      </c>
      <c r="U79" s="153" t="n">
        <v>0.1700086447636025</v>
      </c>
      <c r="V79" s="153" t="n">
        <v>0.06898697577847278</v>
      </c>
      <c r="W79" s="153" t="n">
        <v>0.498632244773038</v>
      </c>
      <c r="X79" s="153" t="n">
        <v>0.1261187631309165</v>
      </c>
      <c r="Y79" s="153" t="n">
        <v>0.4887397940872334</v>
      </c>
      <c r="Z79" s="153" t="n">
        <v>0.4887397940872334</v>
      </c>
      <c r="AA79" s="155" t="n">
        <v>0.2053985135441381</v>
      </c>
    </row>
    <row r="80" ht="14" customHeight="1">
      <c r="A80" s="152" t="inlineStr">
        <is>
          <t>Semiconductor Equip</t>
        </is>
      </c>
      <c r="B80" s="76" t="n">
        <v>30</v>
      </c>
      <c r="C80" s="153" t="n">
        <v>0.09925749999999998</v>
      </c>
      <c r="D80" s="153" t="n">
        <v>0.2418675138617241</v>
      </c>
      <c r="E80" s="153" t="n">
        <v>0.2568363246651194</v>
      </c>
      <c r="F80" s="153" t="n">
        <v>0.1226856071293247</v>
      </c>
      <c r="G80" s="154" t="n">
        <v>1.507765079377707</v>
      </c>
      <c r="H80" s="154" t="n">
        <v>1.527982207425531</v>
      </c>
      <c r="I80" s="153" t="n">
        <v>0.1090871815415744</v>
      </c>
      <c r="J80" s="153" t="n">
        <v>0.3704014298865129</v>
      </c>
      <c r="K80" s="153" t="n">
        <v>0.050855</v>
      </c>
      <c r="L80" s="153" t="n">
        <v>0.0721657639254397</v>
      </c>
      <c r="M80" s="153" t="n">
        <v>0.1039673141944748</v>
      </c>
      <c r="N80" s="154" t="n">
        <v>1.164995402915839</v>
      </c>
      <c r="O80" s="154" t="n">
        <v>5.244258173215728</v>
      </c>
      <c r="P80" s="154" t="n">
        <v>18.17819515764847</v>
      </c>
      <c r="Q80" s="154" t="n">
        <v>21.52973273544825</v>
      </c>
      <c r="R80" s="154" t="n">
        <v>8.100975890903412</v>
      </c>
      <c r="S80" s="154" t="n">
        <v>163.5184201302515</v>
      </c>
      <c r="T80" s="153" t="n">
        <v>0.3456280826852213</v>
      </c>
      <c r="U80" s="153" t="n">
        <v>0.05079655547486855</v>
      </c>
      <c r="V80" s="153" t="n">
        <v>0.02603546329228226</v>
      </c>
      <c r="W80" s="153" t="n">
        <v>0.1388116908891481</v>
      </c>
      <c r="X80" s="153" t="n">
        <v>0.3289066823779071</v>
      </c>
      <c r="Y80" s="153" t="n">
        <v>0.2008998872066673</v>
      </c>
      <c r="Z80" s="153" t="n">
        <v>0.2008998872066673</v>
      </c>
      <c r="AA80" s="155" t="n">
        <v>0.2500123642381983</v>
      </c>
    </row>
    <row r="81" ht="14" customHeight="1">
      <c r="A81" s="152" t="inlineStr">
        <is>
          <t>Shipbuilding &amp; Marine</t>
        </is>
      </c>
      <c r="B81" s="76" t="n">
        <v>8</v>
      </c>
      <c r="C81" s="153" t="n">
        <v>-0.006803333333333335</v>
      </c>
      <c r="D81" s="153" t="n">
        <v>0.10650740465993</v>
      </c>
      <c r="E81" s="153" t="n">
        <v>0.09235139499766344</v>
      </c>
      <c r="F81" s="153" t="n">
        <v>0.1885096089235317</v>
      </c>
      <c r="G81" s="154" t="n">
        <v>0.686594972052408</v>
      </c>
      <c r="H81" s="154" t="n">
        <v>0.8108361418109077</v>
      </c>
      <c r="I81" s="153" t="n">
        <v>0.07609846252330175</v>
      </c>
      <c r="J81" s="153" t="n">
        <v>0.4507472470693009</v>
      </c>
      <c r="K81" s="153" t="n">
        <v>0.050855</v>
      </c>
      <c r="L81" s="153" t="n">
        <v>0.229421518894139</v>
      </c>
      <c r="M81" s="153" t="n">
        <v>0.06739026117321822</v>
      </c>
      <c r="N81" s="154" t="n">
        <v>0.8293396370887708</v>
      </c>
      <c r="O81" s="154" t="n">
        <v>1.70473968168391</v>
      </c>
      <c r="P81" s="154" t="n">
        <v>8.384720595362964</v>
      </c>
      <c r="Q81" s="154" t="n">
        <v>14.22808843735439</v>
      </c>
      <c r="R81" s="154" t="n">
        <v>1.364262961331989</v>
      </c>
      <c r="S81" s="154" t="n">
        <v>24.75708770322851</v>
      </c>
      <c r="T81" s="153" t="n">
        <v>0.1129986548672187</v>
      </c>
      <c r="U81" s="153" t="n">
        <v>0.1024161488802928</v>
      </c>
      <c r="V81" s="153" t="n">
        <v>0.0402991976086052</v>
      </c>
      <c r="W81" s="153" t="n">
        <v>0.5027071202632976</v>
      </c>
      <c r="X81" s="153" t="n">
        <v>0.07817317702121597</v>
      </c>
      <c r="Y81" s="153" t="n">
        <v>0.2933752852499827</v>
      </c>
      <c r="Z81" s="153" t="n">
        <v>0.2933752852499827</v>
      </c>
      <c r="AA81" s="155" t="n">
        <v>0.1194002765065705</v>
      </c>
    </row>
    <row r="82" ht="14" customHeight="1">
      <c r="A82" s="152" t="inlineStr">
        <is>
          <t>Shoe</t>
        </is>
      </c>
      <c r="B82" s="76" t="n">
        <v>13</v>
      </c>
      <c r="C82" s="153" t="n">
        <v>0.1149125</v>
      </c>
      <c r="D82" s="153" t="n">
        <v>0.1219913921536169</v>
      </c>
      <c r="E82" s="153" t="n">
        <v>0.2404308083007173</v>
      </c>
      <c r="F82" s="153" t="n">
        <v>0.1746054567339842</v>
      </c>
      <c r="G82" s="154" t="n">
        <v>1.273095538981059</v>
      </c>
      <c r="H82" s="154" t="n">
        <v>1.29157894422407</v>
      </c>
      <c r="I82" s="153" t="n">
        <v>0.09821263143430721</v>
      </c>
      <c r="J82" s="153" t="n">
        <v>0.3627990889011926</v>
      </c>
      <c r="K82" s="153" t="n">
        <v>0.050855</v>
      </c>
      <c r="L82" s="153" t="n">
        <v>0.08011440800391599</v>
      </c>
      <c r="M82" s="153" t="n">
        <v>0.09340004827272026</v>
      </c>
      <c r="N82" s="154" t="n">
        <v>2.225394489365122</v>
      </c>
      <c r="O82" s="154" t="n">
        <v>2.886304484269497</v>
      </c>
      <c r="P82" s="154" t="n">
        <v>18.9537339477794</v>
      </c>
      <c r="Q82" s="154" t="n">
        <v>23.68287230483622</v>
      </c>
      <c r="R82" s="154" t="n">
        <v>8.710769065002456</v>
      </c>
      <c r="S82" s="154" t="n">
        <v>19.76887219471495</v>
      </c>
      <c r="T82" s="153" t="n">
        <v>0.1961444573194284</v>
      </c>
      <c r="U82" s="153" t="n">
        <v>0.008576270485019038</v>
      </c>
      <c r="V82" s="153" t="n">
        <v>-0.005201249793080597</v>
      </c>
      <c r="W82" s="153" t="n">
        <v>-0.2018259471327742</v>
      </c>
      <c r="X82" s="153" t="n">
        <v>0.2990321486647478</v>
      </c>
      <c r="Y82" s="153" t="n">
        <v>0.3226131069739849</v>
      </c>
      <c r="Z82" s="153" t="n">
        <v>0.3226131069739848</v>
      </c>
      <c r="AA82" s="155" t="n">
        <v>0.1218071961770557</v>
      </c>
    </row>
    <row r="83" ht="14" customHeight="1">
      <c r="A83" s="152" t="inlineStr">
        <is>
          <t>Software (Entertainment)</t>
        </is>
      </c>
      <c r="B83" s="76" t="n">
        <v>84</v>
      </c>
      <c r="C83" s="153" t="n">
        <v>0.1741253333333333</v>
      </c>
      <c r="D83" s="153" t="n">
        <v>0.2680484859792075</v>
      </c>
      <c r="E83" s="153" t="n">
        <v>0.1994487340625551</v>
      </c>
      <c r="F83" s="153" t="n">
        <v>0.1656812512295272</v>
      </c>
      <c r="G83" s="154" t="n">
        <v>1.113680470937326</v>
      </c>
      <c r="H83" s="154" t="n">
        <v>1.108330574023833</v>
      </c>
      <c r="I83" s="153" t="n">
        <v>0.08978320640509632</v>
      </c>
      <c r="J83" s="153" t="n">
        <v>0.5278932207822914</v>
      </c>
      <c r="K83" s="153" t="n">
        <v>0.053524</v>
      </c>
      <c r="L83" s="153" t="n">
        <v>0.03056149493436758</v>
      </c>
      <c r="M83" s="153" t="n">
        <v>0.08826612748850601</v>
      </c>
      <c r="N83" s="154" t="n">
        <v>0.7438484984853133</v>
      </c>
      <c r="O83" s="154" t="n">
        <v>6.025017719108312</v>
      </c>
      <c r="P83" s="154" t="n">
        <v>17.15781585935322</v>
      </c>
      <c r="Q83" s="154" t="n">
        <v>22.22174441209462</v>
      </c>
      <c r="R83" s="154" t="n">
        <v>6.243054731624327</v>
      </c>
      <c r="S83" s="154" t="n">
        <v>30.81807019815021</v>
      </c>
      <c r="T83" s="153" t="n">
        <v>0.04776324767882057</v>
      </c>
      <c r="U83" s="153" t="n">
        <v>0.1267245919390122</v>
      </c>
      <c r="V83" s="153" t="n">
        <v>0.08703914407040002</v>
      </c>
      <c r="W83" s="153" t="n">
        <v>0.4679443076693403</v>
      </c>
      <c r="X83" s="153" t="n">
        <v>0.2325593855621183</v>
      </c>
      <c r="Y83" s="153" t="n">
        <v>0.002506396869722076</v>
      </c>
      <c r="Z83" s="153" t="n">
        <v>0.002506396869722094</v>
      </c>
      <c r="AA83" s="155" t="n">
        <v>0.2816776939314963</v>
      </c>
    </row>
    <row r="84" ht="14" customHeight="1">
      <c r="A84" s="152" t="inlineStr">
        <is>
          <t>Software (Internet)</t>
        </is>
      </c>
      <c r="B84" s="76" t="n">
        <v>35</v>
      </c>
      <c r="C84" s="153" t="n">
        <v>0.2224454545454546</v>
      </c>
      <c r="D84" s="153" t="n">
        <v>-0.03359481657046853</v>
      </c>
      <c r="E84" s="153" t="n">
        <v>-0.004810953262445776</v>
      </c>
      <c r="F84" s="153" t="n">
        <v>0.1787840826489739</v>
      </c>
      <c r="G84" s="154" t="n">
        <v>1.511756337902129</v>
      </c>
      <c r="H84" s="154" t="n">
        <v>1.616084327174593</v>
      </c>
      <c r="I84" s="153" t="n">
        <v>0.1131398790500313</v>
      </c>
      <c r="J84" s="153" t="n">
        <v>0.65221602599035</v>
      </c>
      <c r="K84" s="153" t="n">
        <v>0.060879</v>
      </c>
      <c r="L84" s="153" t="n">
        <v>0.1069865354979554</v>
      </c>
      <c r="M84" s="153" t="n">
        <v>0.1059203603347457</v>
      </c>
      <c r="N84" s="154" t="n">
        <v>0.6361233556563813</v>
      </c>
      <c r="O84" s="154" t="n">
        <v>8.382873685172553</v>
      </c>
      <c r="P84" s="154" t="n">
        <v>19.32987872749768</v>
      </c>
      <c r="Q84" s="154" t="inlineStr">
        <is>
          <t>NA</t>
        </is>
      </c>
      <c r="R84" s="154" t="n">
        <v>9.00211413022916</v>
      </c>
      <c r="S84" s="154" t="n">
        <v>35.17744296414359</v>
      </c>
      <c r="T84" s="153" t="n">
        <v>0.09669575439393442</v>
      </c>
      <c r="U84" s="153" t="n">
        <v>0.05577807792135737</v>
      </c>
      <c r="V84" s="153" t="n">
        <v>0.02831008337942405</v>
      </c>
      <c r="W84" s="153" t="inlineStr">
        <is>
          <t>NA</t>
        </is>
      </c>
      <c r="X84" s="153" t="n">
        <v>-0.1454065112919735</v>
      </c>
      <c r="Y84" s="153" t="n">
        <v>0</v>
      </c>
      <c r="Z84" s="153" t="n">
        <v>0</v>
      </c>
      <c r="AA84" s="155" t="n">
        <v>-0.008317507436808912</v>
      </c>
    </row>
    <row r="85" ht="14" customHeight="1">
      <c r="A85" s="152" t="inlineStr">
        <is>
          <t>Software (System &amp; Application)</t>
        </is>
      </c>
      <c r="B85" s="76" t="n">
        <v>351</v>
      </c>
      <c r="C85" s="153" t="n">
        <v>0.1590333783783783</v>
      </c>
      <c r="D85" s="153" t="n">
        <v>0.2529865559329904</v>
      </c>
      <c r="E85" s="153" t="n">
        <v>0.2322438986671062</v>
      </c>
      <c r="F85" s="153" t="n">
        <v>0.1785326176172911</v>
      </c>
      <c r="G85" s="154" t="n">
        <v>1.272458993813357</v>
      </c>
      <c r="H85" s="154" t="n">
        <v>1.293964729154252</v>
      </c>
      <c r="I85" s="153" t="n">
        <v>0.09832237754109557</v>
      </c>
      <c r="J85" s="153" t="n">
        <v>0.5208648982480728</v>
      </c>
      <c r="K85" s="153" t="n">
        <v>0.053524</v>
      </c>
      <c r="L85" s="153" t="n">
        <v>0.05841338019643433</v>
      </c>
      <c r="M85" s="153" t="n">
        <v>0.09492392344119566</v>
      </c>
      <c r="N85" s="154" t="n">
        <v>0.920355645703261</v>
      </c>
      <c r="O85" s="154" t="n">
        <v>10.72155166283089</v>
      </c>
      <c r="P85" s="154" t="n">
        <v>28.43313874254465</v>
      </c>
      <c r="Q85" s="154" t="n">
        <v>39.48199090418876</v>
      </c>
      <c r="R85" s="154" t="n">
        <v>11.02870784103129</v>
      </c>
      <c r="S85" s="154" t="n">
        <v>88.72457294882238</v>
      </c>
      <c r="T85" s="153" t="n">
        <v>0.112044526586602</v>
      </c>
      <c r="U85" s="153" t="n">
        <v>0.08674641014979829</v>
      </c>
      <c r="V85" s="153" t="n">
        <v>0.05916210679178002</v>
      </c>
      <c r="W85" s="153" t="n">
        <v>0.3638023142592327</v>
      </c>
      <c r="X85" s="153" t="n">
        <v>0.2444183538229952</v>
      </c>
      <c r="Y85" s="153" t="n">
        <v>0.2722059060666616</v>
      </c>
      <c r="Z85" s="153" t="n">
        <v>0.2722059060666615</v>
      </c>
      <c r="AA85" s="155" t="n">
        <v>0.2629596189730837</v>
      </c>
    </row>
    <row r="86" ht="14" customHeight="1">
      <c r="A86" s="152" t="inlineStr">
        <is>
          <t>Steel</t>
        </is>
      </c>
      <c r="B86" s="76" t="n">
        <v>29</v>
      </c>
      <c r="C86" s="153" t="n">
        <v>0.0787332</v>
      </c>
      <c r="D86" s="153" t="n">
        <v>0.1210444877697105</v>
      </c>
      <c r="E86" s="153" t="n">
        <v>0.2218083633357043</v>
      </c>
      <c r="F86" s="153" t="n">
        <v>0.1996296322555346</v>
      </c>
      <c r="G86" s="154" t="n">
        <v>1.077471119970914</v>
      </c>
      <c r="H86" s="154" t="n">
        <v>1.126371725263511</v>
      </c>
      <c r="I86" s="153" t="n">
        <v>0.0906130993621215</v>
      </c>
      <c r="J86" s="153" t="n">
        <v>0.3810220503199221</v>
      </c>
      <c r="K86" s="153" t="n">
        <v>0.050855</v>
      </c>
      <c r="L86" s="153" t="n">
        <v>0.1679434941873973</v>
      </c>
      <c r="M86" s="153" t="n">
        <v>0.08180079363377206</v>
      </c>
      <c r="N86" s="154" t="n">
        <v>2.166846237357801</v>
      </c>
      <c r="O86" s="154" t="n">
        <v>0.9413469942673617</v>
      </c>
      <c r="P86" s="154" t="n">
        <v>5.931545531851561</v>
      </c>
      <c r="Q86" s="154" t="n">
        <v>7.726201556222234</v>
      </c>
      <c r="R86" s="154" t="n">
        <v>1.763973755845776</v>
      </c>
      <c r="S86" s="154" t="n">
        <v>14.54169975751897</v>
      </c>
      <c r="T86" s="153" t="n">
        <v>0.1902386995996951</v>
      </c>
      <c r="U86" s="153" t="n">
        <v>0.06201549106073591</v>
      </c>
      <c r="V86" s="153" t="n">
        <v>0.04210510681415913</v>
      </c>
      <c r="W86" s="153" t="n">
        <v>0.1569878341429413</v>
      </c>
      <c r="X86" s="153" t="n">
        <v>0.2219470919150124</v>
      </c>
      <c r="Y86" s="153" t="n">
        <v>0.1247120778573314</v>
      </c>
      <c r="Z86" s="153" t="n">
        <v>0.1247120778573314</v>
      </c>
      <c r="AA86" s="155" t="n">
        <v>0.1214578166411789</v>
      </c>
    </row>
    <row r="87" ht="14" customHeight="1">
      <c r="A87" s="152" t="inlineStr">
        <is>
          <t>Telecom (Wireless)</t>
        </is>
      </c>
      <c r="B87" s="76" t="n">
        <v>13</v>
      </c>
      <c r="C87" s="153" t="n">
        <v>0.09297714285714287</v>
      </c>
      <c r="D87" s="153" t="n">
        <v>0.1679280103972424</v>
      </c>
      <c r="E87" s="153" t="n">
        <v>0.06548378425028921</v>
      </c>
      <c r="F87" s="153" t="n">
        <v>0.2465243485527615</v>
      </c>
      <c r="G87" s="154" t="n">
        <v>0.7473117190554889</v>
      </c>
      <c r="H87" s="154" t="n">
        <v>1.087361359035153</v>
      </c>
      <c r="I87" s="153" t="n">
        <v>0.08881862251561704</v>
      </c>
      <c r="J87" s="153" t="n">
        <v>0.6030586941268392</v>
      </c>
      <c r="K87" s="153" t="n">
        <v>0.053524</v>
      </c>
      <c r="L87" s="153" t="n">
        <v>0.3908431811819875</v>
      </c>
      <c r="M87" s="153" t="n">
        <v>0.06979408736559969</v>
      </c>
      <c r="N87" s="154" t="n">
        <v>0.4844121348561745</v>
      </c>
      <c r="O87" s="154" t="n">
        <v>3.514710160984272</v>
      </c>
      <c r="P87" s="154" t="n">
        <v>9.00951389360519</v>
      </c>
      <c r="Q87" s="154" t="n">
        <v>23.51266092863578</v>
      </c>
      <c r="R87" s="154" t="n">
        <v>2.532248003346641</v>
      </c>
      <c r="S87" s="154" t="n">
        <v>67.85383293004256</v>
      </c>
      <c r="T87" s="153" t="n">
        <v>0.06268057862914619</v>
      </c>
      <c r="U87" s="153" t="n">
        <v>0.1531094761824038</v>
      </c>
      <c r="V87" s="153" t="n">
        <v>-0.002996067130022016</v>
      </c>
      <c r="W87" s="153" t="n">
        <v>0.5510450483030811</v>
      </c>
      <c r="X87" s="153" t="n">
        <v>0.09739597751390545</v>
      </c>
      <c r="Y87" s="153" t="n">
        <v>0.1104528008925427</v>
      </c>
      <c r="Z87" s="153" t="n">
        <v>0.1104528008925427</v>
      </c>
      <c r="AA87" s="155" t="n">
        <v>0.1494776231119549</v>
      </c>
    </row>
    <row r="88" ht="14" customHeight="1">
      <c r="A88" s="152" t="inlineStr">
        <is>
          <t>Telecom. Equipment</t>
        </is>
      </c>
      <c r="B88" s="76" t="n">
        <v>66</v>
      </c>
      <c r="C88" s="153" t="n">
        <v>0.09616448979591839</v>
      </c>
      <c r="D88" s="153" t="n">
        <v>0.1957837351275138</v>
      </c>
      <c r="E88" s="153" t="n">
        <v>0.2818216189274289</v>
      </c>
      <c r="F88" s="153" t="n">
        <v>0.1690647820001858</v>
      </c>
      <c r="G88" s="154" t="n">
        <v>1.045647985265377</v>
      </c>
      <c r="H88" s="154" t="n">
        <v>1.080507205915602</v>
      </c>
      <c r="I88" s="153" t="n">
        <v>0.08850333147211771</v>
      </c>
      <c r="J88" s="153" t="n">
        <v>0.4662214509006452</v>
      </c>
      <c r="K88" s="153" t="n">
        <v>0.050855</v>
      </c>
      <c r="L88" s="153" t="n">
        <v>0.102451049559405</v>
      </c>
      <c r="M88" s="153" t="n">
        <v>0.08334368336730298</v>
      </c>
      <c r="N88" s="154" t="n">
        <v>1.446426975460753</v>
      </c>
      <c r="O88" s="154" t="n">
        <v>3.606781499774281</v>
      </c>
      <c r="P88" s="154" t="n">
        <v>13.97906915822325</v>
      </c>
      <c r="Q88" s="154" t="n">
        <v>17.64524818921756</v>
      </c>
      <c r="R88" s="154" t="n">
        <v>5.14496794046654</v>
      </c>
      <c r="S88" s="154" t="n">
        <v>70.49127690111283</v>
      </c>
      <c r="T88" s="153" t="n">
        <v>0.230923807013231</v>
      </c>
      <c r="U88" s="153" t="n">
        <v>0.02778956860477866</v>
      </c>
      <c r="V88" s="153" t="n">
        <v>0.03979962341125538</v>
      </c>
      <c r="W88" s="153" t="n">
        <v>0.3666938411394907</v>
      </c>
      <c r="X88" s="153" t="n">
        <v>0.2455054145923156</v>
      </c>
      <c r="Y88" s="153" t="n">
        <v>0.4608483290985658</v>
      </c>
      <c r="Z88" s="153" t="n">
        <v>0.4608483290985658</v>
      </c>
      <c r="AA88" s="155" t="n">
        <v>0.2071352516666671</v>
      </c>
    </row>
    <row r="89" ht="14" customHeight="1">
      <c r="A89" s="152" t="inlineStr">
        <is>
          <t>Telecom. Services</t>
        </is>
      </c>
      <c r="B89" s="76" t="n">
        <v>42</v>
      </c>
      <c r="C89" s="153" t="n">
        <v>0.1316995652173913</v>
      </c>
      <c r="D89" s="153" t="n">
        <v>0.2086157899836036</v>
      </c>
      <c r="E89" s="153" t="n">
        <v>0.1179648260606129</v>
      </c>
      <c r="F89" s="153" t="n">
        <v>0.2177422088473558</v>
      </c>
      <c r="G89" s="154" t="n">
        <v>0.4141115560097563</v>
      </c>
      <c r="H89" s="154" t="n">
        <v>0.7845047112872219</v>
      </c>
      <c r="I89" s="153" t="n">
        <v>0.07488721671921221</v>
      </c>
      <c r="J89" s="153" t="n">
        <v>0.5041671435022144</v>
      </c>
      <c r="K89" s="153" t="n">
        <v>0.053524</v>
      </c>
      <c r="L89" s="153" t="n">
        <v>0.555383790159887</v>
      </c>
      <c r="M89" s="153" t="n">
        <v>0.05559084195155961</v>
      </c>
      <c r="N89" s="154" t="n">
        <v>0.6020033791062319</v>
      </c>
      <c r="O89" s="154" t="n">
        <v>2.35748811016506</v>
      </c>
      <c r="P89" s="154" t="n">
        <v>6.178012041794295</v>
      </c>
      <c r="Q89" s="154" t="n">
        <v>11.21286971634003</v>
      </c>
      <c r="R89" s="154" t="n">
        <v>1.298653224497262</v>
      </c>
      <c r="S89" s="154" t="n">
        <v>77.10240124570124</v>
      </c>
      <c r="T89" s="153" t="n">
        <v>-0.03223536165247942</v>
      </c>
      <c r="U89" s="153" t="n">
        <v>0.1671516982030482</v>
      </c>
      <c r="V89" s="153" t="n">
        <v>0.02429212167518263</v>
      </c>
      <c r="W89" s="153" t="n">
        <v>0.2012230524472249</v>
      </c>
      <c r="X89" s="153" t="n">
        <v>-0.003447094202305295</v>
      </c>
      <c r="Y89" s="153" t="n">
        <v>0.001633769072859852</v>
      </c>
      <c r="Z89" s="153" t="n">
        <v>0.001633769072859836</v>
      </c>
      <c r="AA89" s="155" t="n">
        <v>0.2098380867924646</v>
      </c>
    </row>
    <row r="90" ht="14" customHeight="1">
      <c r="A90" s="152" t="inlineStr">
        <is>
          <t>Tobacco</t>
        </is>
      </c>
      <c r="B90" s="76" t="n">
        <v>16</v>
      </c>
      <c r="C90" s="153" t="n">
        <v>0.3496888888888889</v>
      </c>
      <c r="D90" s="153" t="n">
        <v>0.4081835064651061</v>
      </c>
      <c r="E90" s="153" t="n">
        <v>0.8036055993679144</v>
      </c>
      <c r="F90" s="153" t="n">
        <v>0.2113968221092586</v>
      </c>
      <c r="G90" s="154" t="n">
        <v>0.9870802250148996</v>
      </c>
      <c r="H90" s="154" t="n">
        <v>1.223290827844749</v>
      </c>
      <c r="I90" s="153" t="n">
        <v>0.09507137808085847</v>
      </c>
      <c r="J90" s="153" t="n">
        <v>0.4800026780389306</v>
      </c>
      <c r="K90" s="153" t="n">
        <v>0.050855</v>
      </c>
      <c r="L90" s="153" t="n">
        <v>0.2587306310824797</v>
      </c>
      <c r="M90" s="153" t="n">
        <v>0.08034181011489157</v>
      </c>
      <c r="N90" s="154" t="n">
        <v>2.1763696274457</v>
      </c>
      <c r="O90" s="154" t="n">
        <v>4.79530494511946</v>
      </c>
      <c r="P90" s="154" t="n">
        <v>10.84266449583115</v>
      </c>
      <c r="Q90" s="154" t="n">
        <v>11.67412977893834</v>
      </c>
      <c r="R90" s="154" t="inlineStr">
        <is>
          <t>NA</t>
        </is>
      </c>
      <c r="S90" s="154" t="n">
        <v>17.74608541609177</v>
      </c>
      <c r="T90" s="153" t="n">
        <v>0.1530018110147199</v>
      </c>
      <c r="U90" s="153" t="n">
        <v>0.0270849587325192</v>
      </c>
      <c r="V90" s="153" t="n">
        <v>0.334283944366066</v>
      </c>
      <c r="W90" s="153" t="n">
        <v>1.17639869037906</v>
      </c>
      <c r="X90" s="153" t="inlineStr">
        <is>
          <t>NA</t>
        </is>
      </c>
      <c r="Y90" s="153" t="n">
        <v>0.8798405961040541</v>
      </c>
      <c r="Z90" s="153" t="n">
        <v>0.8798405961040541</v>
      </c>
      <c r="AA90" s="155" t="n">
        <v>0.4100225199058006</v>
      </c>
    </row>
    <row r="91" ht="14" customHeight="1">
      <c r="A91" s="152" t="inlineStr">
        <is>
          <t>Transportation</t>
        </is>
      </c>
      <c r="B91" s="76" t="n">
        <v>110</v>
      </c>
      <c r="C91" s="153" t="n">
        <v>0.07392585365853657</v>
      </c>
      <c r="D91" s="153" t="n">
        <v>0.08507618841862717</v>
      </c>
      <c r="E91" s="153" t="n">
        <v>0.1608839020770455</v>
      </c>
      <c r="F91" s="153" t="n">
        <v>0.2212037646867789</v>
      </c>
      <c r="G91" s="154" t="n">
        <v>0.8446387025231892</v>
      </c>
      <c r="H91" s="154" t="n">
        <v>0.9978072903208907</v>
      </c>
      <c r="I91" s="153" t="n">
        <v>0.08469913535476098</v>
      </c>
      <c r="J91" s="153" t="n">
        <v>0.5620392839791557</v>
      </c>
      <c r="K91" s="153" t="n">
        <v>0.053524</v>
      </c>
      <c r="L91" s="153" t="n">
        <v>0.2357445340104283</v>
      </c>
      <c r="M91" s="153" t="n">
        <v>0.07419526998824728</v>
      </c>
      <c r="N91" s="154" t="n">
        <v>2.014204867566362</v>
      </c>
      <c r="O91" s="154" t="n">
        <v>1.873360125179501</v>
      </c>
      <c r="P91" s="154" t="n">
        <v>12.82565631277035</v>
      </c>
      <c r="Q91" s="154" t="n">
        <v>21.70709502050369</v>
      </c>
      <c r="R91" s="154" t="n">
        <v>5.35118842038193</v>
      </c>
      <c r="S91" s="154" t="n">
        <v>26.99475151211151</v>
      </c>
      <c r="T91" s="153" t="n">
        <v>0.07714682344201211</v>
      </c>
      <c r="U91" s="153" t="n">
        <v>0.07933247776468781</v>
      </c>
      <c r="V91" s="153" t="n">
        <v>0.0479194798616072</v>
      </c>
      <c r="W91" s="153" t="n">
        <v>0.7206476559583577</v>
      </c>
      <c r="X91" s="153" t="n">
        <v>0.220562946104337</v>
      </c>
      <c r="Y91" s="153" t="n">
        <v>1.093020913891014</v>
      </c>
      <c r="Z91" s="153" t="n">
        <v>1.093020913891014</v>
      </c>
      <c r="AA91" s="155" t="n">
        <v>0.08581076677097681</v>
      </c>
    </row>
    <row r="92" ht="14" customHeight="1">
      <c r="A92" s="152" t="inlineStr">
        <is>
          <t>Transportation (Railroads)</t>
        </is>
      </c>
      <c r="B92" s="76" t="n">
        <v>4</v>
      </c>
      <c r="C92" s="153" t="n">
        <v>0.0249</v>
      </c>
      <c r="D92" s="153" t="n">
        <v>0.3511346726913169</v>
      </c>
      <c r="E92" s="153" t="n">
        <v>0.142619533616312</v>
      </c>
      <c r="F92" s="153" t="n">
        <v>0.2298253302447881</v>
      </c>
      <c r="G92" s="154" t="n">
        <v>0.8559978059315445</v>
      </c>
      <c r="H92" s="154" t="n">
        <v>1.017272392300865</v>
      </c>
      <c r="I92" s="153" t="n">
        <v>0.08559453004583981</v>
      </c>
      <c r="J92" s="153" t="n">
        <v>0.2227735820416239</v>
      </c>
      <c r="K92" s="153" t="n">
        <v>0.045043</v>
      </c>
      <c r="L92" s="153" t="n">
        <v>0.2114246731003964</v>
      </c>
      <c r="M92" s="153" t="n">
        <v>0.07464013567456193</v>
      </c>
      <c r="N92" s="154" t="n">
        <v>0.4932462838874906</v>
      </c>
      <c r="O92" s="154" t="n">
        <v>6.629559697290431</v>
      </c>
      <c r="P92" s="154" t="n">
        <v>14.3196804838998</v>
      </c>
      <c r="Q92" s="154" t="n">
        <v>18.96612567774128</v>
      </c>
      <c r="R92" s="154" t="n">
        <v>6.911381082942223</v>
      </c>
      <c r="S92" s="154" t="n">
        <v>22.28825335650561</v>
      </c>
      <c r="T92" s="153" t="n">
        <v>0.02255747182258622</v>
      </c>
      <c r="U92" s="153" t="n">
        <v>0.1570320179340837</v>
      </c>
      <c r="V92" s="153" t="n">
        <v>0.05598864744528668</v>
      </c>
      <c r="W92" s="153" t="n">
        <v>0.2217844307856584</v>
      </c>
      <c r="X92" s="153" t="n">
        <v>0.3167794507858253</v>
      </c>
      <c r="Y92" s="153" t="n">
        <v>0.4351952815226011</v>
      </c>
      <c r="Z92" s="153" t="n">
        <v>0.4351952815226011</v>
      </c>
      <c r="AA92" s="155" t="n">
        <v>0.3495473883245911</v>
      </c>
    </row>
    <row r="93" ht="14" customHeight="1">
      <c r="A93" s="152" t="inlineStr">
        <is>
          <t>Trucking</t>
        </is>
      </c>
      <c r="B93" s="76" t="n">
        <v>22</v>
      </c>
      <c r="C93" s="153" t="n">
        <v>0.06190722222222224</v>
      </c>
      <c r="D93" s="153" t="n">
        <v>0.08493405229389801</v>
      </c>
      <c r="E93" s="153" t="n">
        <v>0.1274874230703091</v>
      </c>
      <c r="F93" s="153" t="n">
        <v>0.2556493406176706</v>
      </c>
      <c r="G93" s="154" t="n">
        <v>1.029154942745124</v>
      </c>
      <c r="H93" s="154" t="n">
        <v>1.148407457764739</v>
      </c>
      <c r="I93" s="153" t="n">
        <v>0.09162674305717802</v>
      </c>
      <c r="J93" s="153" t="n">
        <v>0.283285489554316</v>
      </c>
      <c r="K93" s="153" t="n">
        <v>0.050855</v>
      </c>
      <c r="L93" s="153" t="n">
        <v>0.1663230481280394</v>
      </c>
      <c r="M93" s="153" t="n">
        <v>0.08273087282127708</v>
      </c>
      <c r="N93" s="154" t="n">
        <v>1.842409974947081</v>
      </c>
      <c r="O93" s="154" t="n">
        <v>1.805580236102548</v>
      </c>
      <c r="P93" s="154" t="n">
        <v>10.57224029827716</v>
      </c>
      <c r="Q93" s="154" t="n">
        <v>20.58900254999364</v>
      </c>
      <c r="R93" s="154" t="n">
        <v>3.584694250403009</v>
      </c>
      <c r="S93" s="154" t="n">
        <v>36.07946277619434</v>
      </c>
      <c r="T93" s="153" t="n">
        <v>0.06748020749652663</v>
      </c>
      <c r="U93" s="153" t="n">
        <v>0.1493425044309592</v>
      </c>
      <c r="V93" s="153" t="n">
        <v>0.09098037027775313</v>
      </c>
      <c r="W93" s="153" t="n">
        <v>1.217807517047936</v>
      </c>
      <c r="X93" s="153" t="n">
        <v>0.1297469200138967</v>
      </c>
      <c r="Y93" s="153" t="n">
        <v>0.1736271884654995</v>
      </c>
      <c r="Z93" s="153" t="n">
        <v>0.1736271884654995</v>
      </c>
      <c r="AA93" s="155" t="n">
        <v>0.0869108373084328</v>
      </c>
    </row>
    <row r="94" ht="14" customHeight="1">
      <c r="A94" s="152" t="inlineStr">
        <is>
          <t>Utility (General)</t>
        </is>
      </c>
      <c r="B94" s="76" t="n">
        <v>14</v>
      </c>
      <c r="C94" s="153" t="n">
        <v>0.043405</v>
      </c>
      <c r="D94" s="153" t="n">
        <v>0.2180508078273298</v>
      </c>
      <c r="E94" s="153" t="n">
        <v>0.06473139954433985</v>
      </c>
      <c r="F94" s="153" t="n">
        <v>0.1601620397950673</v>
      </c>
      <c r="G94" s="154" t="n">
        <v>0.3567951929109757</v>
      </c>
      <c r="H94" s="154" t="n">
        <v>0.5804323081687388</v>
      </c>
      <c r="I94" s="153" t="n">
        <v>0.06549988617576198</v>
      </c>
      <c r="J94" s="153" t="n">
        <v>0.1492727509573606</v>
      </c>
      <c r="K94" s="153" t="n">
        <v>0.045043</v>
      </c>
      <c r="L94" s="153" t="n">
        <v>0.4589770332002346</v>
      </c>
      <c r="M94" s="153" t="n">
        <v>0.05094221962368631</v>
      </c>
      <c r="N94" s="154" t="n">
        <v>0.3479906108434517</v>
      </c>
      <c r="O94" s="154" t="n">
        <v>4.128817283340104</v>
      </c>
      <c r="P94" s="154" t="n">
        <v>11.69639755876778</v>
      </c>
      <c r="Q94" s="154" t="n">
        <v>19.07826661136486</v>
      </c>
      <c r="R94" s="154" t="n">
        <v>1.647356637125939</v>
      </c>
      <c r="S94" s="154" t="n">
        <v>17.48375073241683</v>
      </c>
      <c r="T94" s="153" t="n">
        <v>0.1337015155407141</v>
      </c>
      <c r="U94" s="153" t="n">
        <v>0.38606604885824</v>
      </c>
      <c r="V94" s="153" t="n">
        <v>0.2590687097815277</v>
      </c>
      <c r="W94" s="153" t="n">
        <v>1.505256970895014</v>
      </c>
      <c r="X94" s="153" t="n">
        <v>0.1115367674647497</v>
      </c>
      <c r="Y94" s="153" t="n">
        <v>0.5888282183165542</v>
      </c>
      <c r="Z94" s="153" t="n">
        <v>0.5888282183165542</v>
      </c>
      <c r="AA94" s="155" t="n">
        <v>0.216421283200382</v>
      </c>
    </row>
    <row r="95" ht="14" customHeight="1">
      <c r="A95" s="152" t="inlineStr">
        <is>
          <t>Utility (Water)</t>
        </is>
      </c>
      <c r="B95" s="76" t="n">
        <v>13</v>
      </c>
      <c r="C95" s="153" t="n">
        <v>0.1084909090909091</v>
      </c>
      <c r="D95" s="153" t="n">
        <v>0.3079161579620825</v>
      </c>
      <c r="E95" s="153" t="n">
        <v>0.06798956612265145</v>
      </c>
      <c r="F95" s="153" t="n">
        <v>0.1491899144854105</v>
      </c>
      <c r="G95" s="154" t="n">
        <v>0.5223114719862922</v>
      </c>
      <c r="H95" s="154" t="n">
        <v>0.7139634340794939</v>
      </c>
      <c r="I95" s="153" t="n">
        <v>0.07164231796765672</v>
      </c>
      <c r="J95" s="153" t="n">
        <v>0.28198719816416</v>
      </c>
      <c r="K95" s="153" t="n">
        <v>0.050855</v>
      </c>
      <c r="L95" s="153" t="n">
        <v>0.3372731309290163</v>
      </c>
      <c r="M95" s="153" t="n">
        <v>0.06034330788473936</v>
      </c>
      <c r="N95" s="154" t="n">
        <v>0.2492473961434186</v>
      </c>
      <c r="O95" s="154" t="n">
        <v>7.895573764246353</v>
      </c>
      <c r="P95" s="154" t="n">
        <v>16.86105923198364</v>
      </c>
      <c r="Q95" s="154" t="n">
        <v>25.63740947752627</v>
      </c>
      <c r="R95" s="154" t="n">
        <v>2.303151824141751</v>
      </c>
      <c r="S95" s="154" t="n">
        <v>34.88450544421217</v>
      </c>
      <c r="T95" s="153" t="n">
        <v>0.1135057399930944</v>
      </c>
      <c r="U95" s="153" t="n">
        <v>0.5390843091810553</v>
      </c>
      <c r="V95" s="153" t="n">
        <v>0.4017509969105366</v>
      </c>
      <c r="W95" s="153" t="n">
        <v>1.495050963584759</v>
      </c>
      <c r="X95" s="153" t="n">
        <v>0.1597915880068263</v>
      </c>
      <c r="Y95" s="153" t="n">
        <v>0.6058549621884045</v>
      </c>
      <c r="Z95" s="153" t="n">
        <v>0.3924497264677397</v>
      </c>
      <c r="AA95" s="155" t="n">
        <v>0.3068099761738584</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AA95"/>
  <sheetViews>
    <sheetView workbookViewId="0">
      <selection activeCell="A49" sqref="A1:AA65536"/>
    </sheetView>
  </sheetViews>
  <sheetFormatPr baseColWidth="10" defaultRowHeight="13"/>
  <cols>
    <col width="20.33203125" bestFit="1" customWidth="1" min="1" max="1"/>
    <col width="11.5" bestFit="1" customWidth="1" min="2" max="2"/>
    <col width="9.5" bestFit="1" customWidth="1" min="3" max="3"/>
    <col width="11.83203125" bestFit="1" customWidth="1" min="4" max="4"/>
    <col width="12.5" customWidth="1" min="5" max="5"/>
    <col width="10.5" bestFit="1" customWidth="1" min="6" max="6"/>
    <col width="11.5" bestFit="1" customWidth="1" min="7" max="7"/>
    <col width="22.5" bestFit="1" customWidth="1" min="8" max="8"/>
  </cols>
  <sheetData>
    <row r="1" ht="84" customFormat="1" customHeight="1" s="178">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customFormat="1" s="140">
      <c r="A2" s="152" t="inlineStr">
        <is>
          <t>Advertising</t>
        </is>
      </c>
      <c r="B2" s="76" t="n">
        <v>391</v>
      </c>
      <c r="C2" s="153" t="n">
        <v>0.06067873303167419</v>
      </c>
      <c r="D2" s="153" t="n">
        <v>0.07893289015217178</v>
      </c>
      <c r="E2" s="153" t="n">
        <v>0.2231841538480626</v>
      </c>
      <c r="F2" s="153" t="n">
        <v>0.246718624697842</v>
      </c>
      <c r="G2" s="154" t="n">
        <v>1.230922708614234</v>
      </c>
      <c r="H2" s="154" t="n">
        <v>1.352526118144886</v>
      </c>
      <c r="I2" s="153" t="n">
        <v>0.1254969241730872</v>
      </c>
      <c r="J2" s="153" t="n">
        <v>0.388911179062249</v>
      </c>
      <c r="K2" s="153" t="n">
        <v>0.064355</v>
      </c>
      <c r="L2" s="153" t="n">
        <v>0.2397106590019212</v>
      </c>
      <c r="M2" s="153" t="n">
        <v>0.1069345433176216</v>
      </c>
      <c r="N2" s="154" t="n">
        <v>3.226927815858113</v>
      </c>
      <c r="O2" s="154" t="n">
        <v>1.559758183059845</v>
      </c>
      <c r="P2" s="154" t="n">
        <v>11.94145760510109</v>
      </c>
      <c r="Q2" s="154" t="n">
        <v>18.46819835441859</v>
      </c>
      <c r="R2" s="154" t="n">
        <v>2.596984076668551</v>
      </c>
      <c r="S2" s="154" t="n">
        <v>53.67686365127594</v>
      </c>
      <c r="T2" s="153" t="n">
        <v>-0.02513814451755865</v>
      </c>
      <c r="U2" s="153" t="n">
        <v>0.01724318910070085</v>
      </c>
      <c r="V2" s="153" t="n">
        <v>0.001731918224901878</v>
      </c>
      <c r="W2" s="153" t="n">
        <v>0.2511407802749648</v>
      </c>
      <c r="X2" s="153" t="n">
        <v>0.07535654969050509</v>
      </c>
      <c r="Y2" s="153" t="n">
        <v>0.7601358005112612</v>
      </c>
      <c r="Z2" s="153" t="n">
        <v>0.7601358005112612</v>
      </c>
      <c r="AA2" s="155" t="n">
        <v>0.08065983706407709</v>
      </c>
    </row>
    <row r="3" customFormat="1" s="140">
      <c r="A3" s="152" t="inlineStr">
        <is>
          <t>Aerospace/Defense</t>
        </is>
      </c>
      <c r="B3" s="76" t="n">
        <v>289</v>
      </c>
      <c r="C3" s="153" t="n">
        <v>0.0930956804733728</v>
      </c>
      <c r="D3" s="153" t="n">
        <v>0.07992361762235561</v>
      </c>
      <c r="E3" s="153" t="n">
        <v>0.139381870289796</v>
      </c>
      <c r="F3" s="153" t="n">
        <v>0.1617728803446453</v>
      </c>
      <c r="G3" s="154" t="n">
        <v>0.9033832599921978</v>
      </c>
      <c r="H3" s="154" t="n">
        <v>0.9843030741457366</v>
      </c>
      <c r="I3" s="153" t="n">
        <v>0.1018938270527417</v>
      </c>
      <c r="J3" s="153" t="n">
        <v>0.3510101886001402</v>
      </c>
      <c r="K3" s="153" t="n">
        <v>0.064355</v>
      </c>
      <c r="L3" s="153" t="n">
        <v>0.1719734863002146</v>
      </c>
      <c r="M3" s="153" t="n">
        <v>0.09263589013327361</v>
      </c>
      <c r="N3" s="154" t="n">
        <v>1.832261980772774</v>
      </c>
      <c r="O3" s="154" t="n">
        <v>2.261627866545433</v>
      </c>
      <c r="P3" s="154" t="n">
        <v>17.90763208027589</v>
      </c>
      <c r="Q3" s="154" t="n">
        <v>27.40985380310168</v>
      </c>
      <c r="R3" s="154" t="n">
        <v>4.467578985815011</v>
      </c>
      <c r="S3" s="154" t="n">
        <v>77.14560185913516</v>
      </c>
      <c r="T3" s="153" t="n">
        <v>0.3880533361795137</v>
      </c>
      <c r="U3" s="153" t="n">
        <v>0.03540472169202086</v>
      </c>
      <c r="V3" s="153" t="n">
        <v>0.02153622728477042</v>
      </c>
      <c r="W3" s="153" t="n">
        <v>0.4016724638072237</v>
      </c>
      <c r="X3" s="153" t="n">
        <v>0.141433830477927</v>
      </c>
      <c r="Y3" s="153" t="n">
        <v>0.4495815637111207</v>
      </c>
      <c r="Z3" s="153" t="n">
        <v>0.4495815637111207</v>
      </c>
      <c r="AA3" s="155" t="n">
        <v>0.08359700918676137</v>
      </c>
    </row>
    <row r="4" customFormat="1" s="140">
      <c r="A4" s="152" t="inlineStr">
        <is>
          <t>Air Transport</t>
        </is>
      </c>
      <c r="B4" s="76" t="n">
        <v>155</v>
      </c>
      <c r="C4" s="153" t="n">
        <v>0.02483495999999999</v>
      </c>
      <c r="D4" s="153" t="n">
        <v>0.07283278618645275</v>
      </c>
      <c r="E4" s="153" t="n">
        <v>0.07609043946784129</v>
      </c>
      <c r="F4" s="153" t="n">
        <v>0.1807932286202501</v>
      </c>
      <c r="G4" s="154" t="n">
        <v>0.8104034085122022</v>
      </c>
      <c r="H4" s="154" t="n">
        <v>1.28721276481042</v>
      </c>
      <c r="I4" s="153" t="n">
        <v>0.1213103382243479</v>
      </c>
      <c r="J4" s="153" t="n">
        <v>0.3006179426998994</v>
      </c>
      <c r="K4" s="153" t="n">
        <v>0.064355</v>
      </c>
      <c r="L4" s="153" t="n">
        <v>0.5098168184151185</v>
      </c>
      <c r="M4" s="153" t="n">
        <v>0.0839662439254605</v>
      </c>
      <c r="N4" s="154" t="n">
        <v>1.197403761436891</v>
      </c>
      <c r="O4" s="154" t="n">
        <v>1.416060675493406</v>
      </c>
      <c r="P4" s="154" t="n">
        <v>8.421065533779592</v>
      </c>
      <c r="Q4" s="154" t="n">
        <v>18.08875694052879</v>
      </c>
      <c r="R4" s="154" t="n">
        <v>2.400035814568292</v>
      </c>
      <c r="S4" s="154" t="n">
        <v>96.63158394397243</v>
      </c>
      <c r="T4" s="153" t="n">
        <v>-0.02852314543830253</v>
      </c>
      <c r="U4" s="153" t="n">
        <v>0.0987285904360671</v>
      </c>
      <c r="V4" s="153" t="n">
        <v>0.03460650247583546</v>
      </c>
      <c r="W4" s="153" t="n">
        <v>0.3036030119027146</v>
      </c>
      <c r="X4" s="153" t="n">
        <v>0.1964629445846179</v>
      </c>
      <c r="Y4" s="153" t="n">
        <v>0.2520957459568711</v>
      </c>
      <c r="Z4" s="153" t="n">
        <v>0.2520957459568711</v>
      </c>
      <c r="AA4" s="155" t="n">
        <v>0.07233687669860593</v>
      </c>
    </row>
    <row r="5" customFormat="1" s="140">
      <c r="A5" s="152" t="inlineStr">
        <is>
          <t>Apparel</t>
        </is>
      </c>
      <c r="B5" s="76" t="n">
        <v>1152</v>
      </c>
      <c r="C5" s="153" t="n">
        <v>0.02990259259259265</v>
      </c>
      <c r="D5" s="153" t="n">
        <v>0.1463955100280765</v>
      </c>
      <c r="E5" s="153" t="n">
        <v>0.2131479985821287</v>
      </c>
      <c r="F5" s="153" t="n">
        <v>0.2530654600393104</v>
      </c>
      <c r="G5" s="154" t="n">
        <v>0.7794657334292335</v>
      </c>
      <c r="H5" s="154" t="n">
        <v>0.8327732999954236</v>
      </c>
      <c r="I5" s="153" t="n">
        <v>0.09218076852970666</v>
      </c>
      <c r="J5" s="153" t="n">
        <v>0.3272366860839866</v>
      </c>
      <c r="K5" s="153" t="n">
        <v>0.064355</v>
      </c>
      <c r="L5" s="153" t="n">
        <v>0.1456141512796983</v>
      </c>
      <c r="M5" s="153" t="n">
        <v>0.0857562059892889</v>
      </c>
      <c r="N5" s="154" t="n">
        <v>1.66891161041785</v>
      </c>
      <c r="O5" s="154" t="n">
        <v>2.439303847452353</v>
      </c>
      <c r="P5" s="154" t="n">
        <v>13.19284023309549</v>
      </c>
      <c r="Q5" s="154" t="n">
        <v>16.12532487199999</v>
      </c>
      <c r="R5" s="154" t="n">
        <v>3.629233884937246</v>
      </c>
      <c r="S5" s="154" t="n">
        <v>42.4882154689132</v>
      </c>
      <c r="T5" s="153" t="n">
        <v>0.2242806816328674</v>
      </c>
      <c r="U5" s="153" t="n">
        <v>0.05163412076682671</v>
      </c>
      <c r="V5" s="153" t="n">
        <v>0.03426756271231746</v>
      </c>
      <c r="W5" s="153" t="n">
        <v>0.5214723064236186</v>
      </c>
      <c r="X5" s="153" t="n">
        <v>0.1706271749242318</v>
      </c>
      <c r="Y5" s="153" t="n">
        <v>0.4237835980340549</v>
      </c>
      <c r="Z5" s="153" t="n">
        <v>0.4237835980340549</v>
      </c>
      <c r="AA5" s="155" t="n">
        <v>0.1480413804203404</v>
      </c>
    </row>
    <row r="6" customFormat="1" s="140">
      <c r="A6" s="152" t="inlineStr">
        <is>
          <t>Auto &amp; Truck</t>
        </is>
      </c>
      <c r="B6" s="76" t="n">
        <v>165</v>
      </c>
      <c r="C6" s="153" t="n">
        <v>0.081321568627451</v>
      </c>
      <c r="D6" s="153" t="n">
        <v>0.07559460879664</v>
      </c>
      <c r="E6" s="153" t="n">
        <v>0.08616757062954443</v>
      </c>
      <c r="F6" s="153" t="n">
        <v>0.2188113455652619</v>
      </c>
      <c r="G6" s="154" t="n">
        <v>1.103021612637966</v>
      </c>
      <c r="H6" s="154" t="n">
        <v>1.360686349986887</v>
      </c>
      <c r="I6" s="153" t="n">
        <v>0.1260199950341594</v>
      </c>
      <c r="J6" s="153" t="n">
        <v>0.364637234321081</v>
      </c>
      <c r="K6" s="153" t="n">
        <v>0.064355</v>
      </c>
      <c r="L6" s="153" t="n">
        <v>0.3560974076196419</v>
      </c>
      <c r="M6" s="153" t="n">
        <v>0.09825875471904111</v>
      </c>
      <c r="N6" s="154" t="n">
        <v>1.233936680919706</v>
      </c>
      <c r="O6" s="154" t="n">
        <v>1.20104540207847</v>
      </c>
      <c r="P6" s="154" t="n">
        <v>9.842284210252918</v>
      </c>
      <c r="Q6" s="154" t="n">
        <v>15.27893892387536</v>
      </c>
      <c r="R6" s="154" t="n">
        <v>1.667363430796356</v>
      </c>
      <c r="S6" s="154" t="n">
        <v>42.26406405869233</v>
      </c>
      <c r="T6" s="153" t="n">
        <v>0.02127909970655717</v>
      </c>
      <c r="U6" s="153" t="n">
        <v>0.06066018448661875</v>
      </c>
      <c r="V6" s="153" t="n">
        <v>0.03461175046543923</v>
      </c>
      <c r="W6" s="153" t="n">
        <v>0.7038213344566231</v>
      </c>
      <c r="X6" s="153" t="n">
        <v>0.1450297214555684</v>
      </c>
      <c r="Y6" s="153" t="n">
        <v>0.265520111842919</v>
      </c>
      <c r="Z6" s="153" t="n">
        <v>0.265520111842919</v>
      </c>
      <c r="AA6" s="155" t="n">
        <v>0.07738371255941771</v>
      </c>
    </row>
    <row r="7" customFormat="1" s="140">
      <c r="A7" s="152" t="inlineStr">
        <is>
          <t>Auto Parts</t>
        </is>
      </c>
      <c r="B7" s="76" t="n">
        <v>761</v>
      </c>
      <c r="C7" s="153" t="n">
        <v>0.06871993174061446</v>
      </c>
      <c r="D7" s="153" t="n">
        <v>0.0501128648978648</v>
      </c>
      <c r="E7" s="153" t="n">
        <v>0.06951342691934617</v>
      </c>
      <c r="F7" s="153" t="n">
        <v>0.2407743035732298</v>
      </c>
      <c r="G7" s="154" t="n">
        <v>1.20905515289762</v>
      </c>
      <c r="H7" s="154" t="n">
        <v>1.305557646256398</v>
      </c>
      <c r="I7" s="153" t="n">
        <v>0.1224862451250351</v>
      </c>
      <c r="J7" s="153" t="n">
        <v>0.3038933613736106</v>
      </c>
      <c r="K7" s="153" t="n">
        <v>0.064355</v>
      </c>
      <c r="L7" s="153" t="n">
        <v>0.2344422696653725</v>
      </c>
      <c r="M7" s="153" t="n">
        <v>0.1050376609101232</v>
      </c>
      <c r="N7" s="154" t="n">
        <v>1.730294044916969</v>
      </c>
      <c r="O7" s="154" t="n">
        <v>0.8265548243886169</v>
      </c>
      <c r="P7" s="154" t="n">
        <v>8.553999746202313</v>
      </c>
      <c r="Q7" s="154" t="n">
        <v>15.80732184418541</v>
      </c>
      <c r="R7" s="154" t="n">
        <v>1.49841854622796</v>
      </c>
      <c r="S7" s="154" t="n">
        <v>130.488979805389</v>
      </c>
      <c r="T7" s="153" t="n">
        <v>0.1176466103229517</v>
      </c>
      <c r="U7" s="153" t="n">
        <v>0.05368852065849373</v>
      </c>
      <c r="V7" s="153" t="n">
        <v>0.03847388809441331</v>
      </c>
      <c r="W7" s="153" t="n">
        <v>1.161358931096731</v>
      </c>
      <c r="X7" s="153" t="n">
        <v>0.07578820040942487</v>
      </c>
      <c r="Y7" s="153" t="n">
        <v>0.4165823913292755</v>
      </c>
      <c r="Z7" s="153" t="n">
        <v>0.4165823913292754</v>
      </c>
      <c r="AA7" s="155" t="n">
        <v>0.04827427795541352</v>
      </c>
    </row>
    <row r="8" customFormat="1" s="140">
      <c r="A8" s="152" t="inlineStr">
        <is>
          <t>Bank (Money Center)</t>
        </is>
      </c>
      <c r="B8" s="76" t="n">
        <v>607</v>
      </c>
      <c r="C8" s="153" t="n">
        <v>0.1202628021978022</v>
      </c>
      <c r="D8" s="153" t="n">
        <v>0.002836437566956165</v>
      </c>
      <c r="E8" s="153" t="n">
        <v>0.0003871060093336952</v>
      </c>
      <c r="F8" s="153" t="n">
        <v>0.1859046415913589</v>
      </c>
      <c r="G8" s="154" t="n">
        <v>0.4206221588394355</v>
      </c>
      <c r="H8" s="154" t="n">
        <v>0.876612225938487</v>
      </c>
      <c r="I8" s="153" t="n">
        <v>0.09499084368265702</v>
      </c>
      <c r="J8" s="153" t="n">
        <v>0.2128077921549118</v>
      </c>
      <c r="K8" s="153" t="n">
        <v>0.058543</v>
      </c>
      <c r="L8" s="153" t="n">
        <v>0.7442254790211423</v>
      </c>
      <c r="M8" s="153" t="n">
        <v>0.05683371028896153</v>
      </c>
      <c r="N8" s="154" t="n">
        <v>0.1591156761958457</v>
      </c>
      <c r="O8" s="154" t="n">
        <v>6.769919336252969</v>
      </c>
      <c r="P8" s="154" t="n">
        <v>189.8989925217605</v>
      </c>
      <c r="Q8" s="154" t="inlineStr">
        <is>
          <t>NA</t>
        </is>
      </c>
      <c r="R8" s="154" t="n">
        <v>0.8423495689751938</v>
      </c>
      <c r="S8" s="154" t="n">
        <v>14.729077831667</v>
      </c>
      <c r="T8" s="153" t="inlineStr">
        <is>
          <t>NA</t>
        </is>
      </c>
      <c r="U8" s="153" t="n">
        <v>0.0332543635026244</v>
      </c>
      <c r="V8" s="153" t="n">
        <v>0.05079867117011205</v>
      </c>
      <c r="W8" s="153" t="n">
        <v>19.57501941647841</v>
      </c>
      <c r="X8" s="153" t="n">
        <v>0.1265430638481195</v>
      </c>
      <c r="Y8" s="153" t="n">
        <v>0.3069542161513743</v>
      </c>
      <c r="Z8" s="153" t="n">
        <v>0.3069542161513743</v>
      </c>
      <c r="AA8" s="155" t="n">
        <v>0.003104648255039686</v>
      </c>
    </row>
    <row r="9" customFormat="1" s="140">
      <c r="A9" s="152" t="inlineStr">
        <is>
          <t>Banks (Regional)</t>
        </is>
      </c>
      <c r="B9" s="76" t="n">
        <v>881</v>
      </c>
      <c r="C9" s="153" t="n">
        <v>0.08400441828254859</v>
      </c>
      <c r="D9" s="153" t="n">
        <v>-0.0001076747280702795</v>
      </c>
      <c r="E9" s="153" t="n">
        <v>-0.0001474165996108739</v>
      </c>
      <c r="F9" s="153" t="n">
        <v>0.1917830954076467</v>
      </c>
      <c r="G9" s="154" t="n">
        <v>0.2839122386246412</v>
      </c>
      <c r="H9" s="154" t="n">
        <v>0.5230836051597128</v>
      </c>
      <c r="I9" s="153" t="n">
        <v>0.07232965909073759</v>
      </c>
      <c r="J9" s="153" t="n">
        <v>0.1829555737562317</v>
      </c>
      <c r="K9" s="153" t="n">
        <v>0.058543</v>
      </c>
      <c r="L9" s="153" t="n">
        <v>0.7175653123942998</v>
      </c>
      <c r="M9" s="153" t="n">
        <v>0.05180029726907669</v>
      </c>
      <c r="N9" s="154" t="n">
        <v>0.1719664438249075</v>
      </c>
      <c r="O9" s="154" t="n">
        <v>5.83712023750268</v>
      </c>
      <c r="P9" s="154" t="inlineStr">
        <is>
          <t>NA</t>
        </is>
      </c>
      <c r="Q9" s="154" t="inlineStr">
        <is>
          <t>NA</t>
        </is>
      </c>
      <c r="R9" s="154" t="n">
        <v>0.7449859762005423</v>
      </c>
      <c r="S9" s="154" t="n">
        <v>28.98075419361701</v>
      </c>
      <c r="T9" s="153" t="inlineStr">
        <is>
          <t>NA</t>
        </is>
      </c>
      <c r="U9" s="153" t="n">
        <v>0.02958498139413368</v>
      </c>
      <c r="V9" s="153" t="n">
        <v>-0.04266256265612312</v>
      </c>
      <c r="W9" s="153" t="inlineStr">
        <is>
          <t>NA</t>
        </is>
      </c>
      <c r="X9" s="153" t="n">
        <v>0.09826683499231498</v>
      </c>
      <c r="Y9" s="153" t="n">
        <v>0.2908950908847918</v>
      </c>
      <c r="Z9" s="153" t="n">
        <v>0.2908950908847918</v>
      </c>
      <c r="AA9" s="155" t="n">
        <v>-0.001038650522367063</v>
      </c>
    </row>
    <row r="10" customFormat="1" s="140">
      <c r="A10" s="152" t="inlineStr">
        <is>
          <t>Beverage (Alcoholic)</t>
        </is>
      </c>
      <c r="B10" s="76" t="n">
        <v>220</v>
      </c>
      <c r="C10" s="153" t="n">
        <v>0.08247847457627115</v>
      </c>
      <c r="D10" s="153" t="n">
        <v>0.2168901175761392</v>
      </c>
      <c r="E10" s="153" t="n">
        <v>0.1606749772397751</v>
      </c>
      <c r="F10" s="153" t="n">
        <v>0.2194506824475855</v>
      </c>
      <c r="G10" s="154" t="n">
        <v>0.6865821100681193</v>
      </c>
      <c r="H10" s="154" t="n">
        <v>0.7455633619248503</v>
      </c>
      <c r="I10" s="153" t="n">
        <v>0.08659061149938291</v>
      </c>
      <c r="J10" s="153" t="n">
        <v>0.2748939825628717</v>
      </c>
      <c r="K10" s="153" t="n">
        <v>0.064355</v>
      </c>
      <c r="L10" s="153" t="n">
        <v>0.1573677182089916</v>
      </c>
      <c r="M10" s="153" t="n">
        <v>0.08052718649999141</v>
      </c>
      <c r="N10" s="154" t="n">
        <v>0.8820905961381756</v>
      </c>
      <c r="O10" s="154" t="n">
        <v>3.645519486097817</v>
      </c>
      <c r="P10" s="154" t="n">
        <v>13.89001942947354</v>
      </c>
      <c r="Q10" s="154" t="n">
        <v>16.68246038627457</v>
      </c>
      <c r="R10" s="154" t="n">
        <v>3.176189348594515</v>
      </c>
      <c r="S10" s="154" t="n">
        <v>49.80614468426518</v>
      </c>
      <c r="T10" s="153" t="n">
        <v>0.1079958619782477</v>
      </c>
      <c r="U10" s="153" t="n">
        <v>0.05108051295184851</v>
      </c>
      <c r="V10" s="153" t="n">
        <v>0.02917893619654361</v>
      </c>
      <c r="W10" s="153" t="n">
        <v>0.3967491242448903</v>
      </c>
      <c r="X10" s="153" t="n">
        <v>0.1652800382519741</v>
      </c>
      <c r="Y10" s="153" t="n">
        <v>0.4461456976706299</v>
      </c>
      <c r="Z10" s="153" t="n">
        <v>0.4461456976706299</v>
      </c>
      <c r="AA10" s="155" t="n">
        <v>0.2173706332558427</v>
      </c>
    </row>
    <row r="11" customFormat="1" s="140">
      <c r="A11" s="152" t="inlineStr">
        <is>
          <t>Beverage (Soft)</t>
        </is>
      </c>
      <c r="B11" s="76" t="n">
        <v>100</v>
      </c>
      <c r="C11" s="153" t="n">
        <v>0.1310644444444445</v>
      </c>
      <c r="D11" s="153" t="n">
        <v>0.1671285160984753</v>
      </c>
      <c r="E11" s="153" t="n">
        <v>0.2608297340208956</v>
      </c>
      <c r="F11" s="153" t="n">
        <v>0.2040811550401788</v>
      </c>
      <c r="G11" s="154" t="n">
        <v>0.6563336098512859</v>
      </c>
      <c r="H11" s="154" t="n">
        <v>0.7071161596851042</v>
      </c>
      <c r="I11" s="153" t="n">
        <v>0.08412614583581518</v>
      </c>
      <c r="J11" s="153" t="n">
        <v>0.3223807318866916</v>
      </c>
      <c r="K11" s="153" t="n">
        <v>0.064355</v>
      </c>
      <c r="L11" s="153" t="n">
        <v>0.1414894490363385</v>
      </c>
      <c r="M11" s="153" t="n">
        <v>0.07902321116032845</v>
      </c>
      <c r="N11" s="154" t="n">
        <v>1.762754719177515</v>
      </c>
      <c r="O11" s="154" t="n">
        <v>3.537858425745806</v>
      </c>
      <c r="P11" s="154" t="n">
        <v>17.26945444497226</v>
      </c>
      <c r="Q11" s="154" t="n">
        <v>21.0668316436345</v>
      </c>
      <c r="R11" s="154" t="n">
        <v>6.221247733454318</v>
      </c>
      <c r="S11" s="154" t="n">
        <v>34.11006197729769</v>
      </c>
      <c r="T11" s="153" t="n">
        <v>-0.04622299752478169</v>
      </c>
      <c r="U11" s="153" t="n">
        <v>0.04667917031350403</v>
      </c>
      <c r="V11" s="153" t="n">
        <v>0.02269315879940059</v>
      </c>
      <c r="W11" s="153" t="n">
        <v>0.2835380968345793</v>
      </c>
      <c r="X11" s="153" t="n">
        <v>0.2576342081193243</v>
      </c>
      <c r="Y11" s="153" t="n">
        <v>0.6310879304066657</v>
      </c>
      <c r="Z11" s="153" t="n">
        <v>0.6310879304066657</v>
      </c>
      <c r="AA11" s="155" t="n">
        <v>0.1678076533614499</v>
      </c>
    </row>
    <row r="12" customFormat="1" s="140">
      <c r="A12" s="152" t="inlineStr">
        <is>
          <t>Broadcasting</t>
        </is>
      </c>
      <c r="B12" s="76" t="n">
        <v>130</v>
      </c>
      <c r="C12" s="153" t="n">
        <v>0.04030675925925923</v>
      </c>
      <c r="D12" s="153" t="n">
        <v>0.09912960810652856</v>
      </c>
      <c r="E12" s="153" t="n">
        <v>0.08815285332158258</v>
      </c>
      <c r="F12" s="153" t="n">
        <v>0.2529276963803888</v>
      </c>
      <c r="G12" s="154" t="n">
        <v>0.6637382391378941</v>
      </c>
      <c r="H12" s="154" t="n">
        <v>0.9819685709875657</v>
      </c>
      <c r="I12" s="153" t="n">
        <v>0.101744185400303</v>
      </c>
      <c r="J12" s="153" t="n">
        <v>0.3153963293006044</v>
      </c>
      <c r="K12" s="153" t="n">
        <v>0.064355</v>
      </c>
      <c r="L12" s="153" t="n">
        <v>0.4666262683196585</v>
      </c>
      <c r="M12" s="153" t="n">
        <v>0.07669388081982716</v>
      </c>
      <c r="N12" s="154" t="n">
        <v>1.048262275637724</v>
      </c>
      <c r="O12" s="154" t="n">
        <v>1.185994565879172</v>
      </c>
      <c r="P12" s="154" t="n">
        <v>7.870578150057495</v>
      </c>
      <c r="Q12" s="154" t="n">
        <v>11.66681951750995</v>
      </c>
      <c r="R12" s="154" t="n">
        <v>0.747092012010053</v>
      </c>
      <c r="S12" s="154" t="n">
        <v>45.3362314766247</v>
      </c>
      <c r="T12" s="153" t="n">
        <v>0.1235897526608391</v>
      </c>
      <c r="U12" s="153" t="n">
        <v>0.0376881229824983</v>
      </c>
      <c r="V12" s="153" t="n">
        <v>-0.002745963089018547</v>
      </c>
      <c r="W12" s="153" t="n">
        <v>1.536797306304446</v>
      </c>
      <c r="X12" s="153" t="n">
        <v>-0.003556752650027849</v>
      </c>
      <c r="Y12" s="153" t="n">
        <v>0.004708516540728867</v>
      </c>
      <c r="Z12" s="153" t="n">
        <v>0.004708516540728902</v>
      </c>
      <c r="AA12" s="155" t="n">
        <v>0.09876314296512265</v>
      </c>
    </row>
    <row r="13" customFormat="1" s="140">
      <c r="A13" s="152" t="inlineStr">
        <is>
          <t>Brokerage &amp; Investment Banking</t>
        </is>
      </c>
      <c r="B13" s="76" t="n">
        <v>590</v>
      </c>
      <c r="C13" s="153" t="n">
        <v>0.1041612224938875</v>
      </c>
      <c r="D13" s="153" t="n">
        <v>0.01177558972417955</v>
      </c>
      <c r="E13" s="153" t="n">
        <v>0.001805824410697049</v>
      </c>
      <c r="F13" s="153" t="n">
        <v>0.1895973460883674</v>
      </c>
      <c r="G13" s="154" t="n">
        <v>0.3997661051483374</v>
      </c>
      <c r="H13" s="154" t="n">
        <v>0.9286781655866339</v>
      </c>
      <c r="I13" s="153" t="n">
        <v>0.09832827041410323</v>
      </c>
      <c r="J13" s="153" t="n">
        <v>0.3195173390050282</v>
      </c>
      <c r="K13" s="153" t="n">
        <v>0.064355</v>
      </c>
      <c r="L13" s="153" t="n">
        <v>0.7123160909430237</v>
      </c>
      <c r="M13" s="153" t="n">
        <v>0.06252159620151493</v>
      </c>
      <c r="N13" s="154" t="n">
        <v>0.183748120935801</v>
      </c>
      <c r="O13" s="154" t="n">
        <v>6.822798379397692</v>
      </c>
      <c r="P13" s="154" t="n">
        <v>189.1746426349216</v>
      </c>
      <c r="Q13" s="154" t="inlineStr">
        <is>
          <t>NA</t>
        </is>
      </c>
      <c r="R13" s="154" t="n">
        <v>1.258423297516498</v>
      </c>
      <c r="S13" s="154" t="n">
        <v>115.1771368279649</v>
      </c>
      <c r="T13" s="153" t="inlineStr">
        <is>
          <t>NA</t>
        </is>
      </c>
      <c r="U13" s="153" t="n">
        <v>0.03214726780705559</v>
      </c>
      <c r="V13" s="153" t="n">
        <v>0.01784038062272536</v>
      </c>
      <c r="W13" s="153" t="n">
        <v>8.460207121086022</v>
      </c>
      <c r="X13" s="153" t="n">
        <v>0.07664517748653683</v>
      </c>
      <c r="Y13" s="153" t="n">
        <v>0.5963023526064821</v>
      </c>
      <c r="Z13" s="153" t="n">
        <v>0.5963023526064821</v>
      </c>
      <c r="AA13" s="155" t="n">
        <v>0.0113470448533097</v>
      </c>
    </row>
    <row r="14" customFormat="1" s="140">
      <c r="A14" s="152" t="inlineStr">
        <is>
          <t>Building Materials</t>
        </is>
      </c>
      <c r="B14" s="76" t="n">
        <v>457</v>
      </c>
      <c r="C14" s="153" t="n">
        <v>0.06034177966101698</v>
      </c>
      <c r="D14" s="153" t="n">
        <v>0.1063929842533017</v>
      </c>
      <c r="E14" s="153" t="n">
        <v>0.1673029038037701</v>
      </c>
      <c r="F14" s="153" t="n">
        <v>0.2283837221122688</v>
      </c>
      <c r="G14" s="154" t="n">
        <v>0.9404913910737814</v>
      </c>
      <c r="H14" s="154" t="n">
        <v>1.031479789422486</v>
      </c>
      <c r="I14" s="153" t="n">
        <v>0.1049178545019814</v>
      </c>
      <c r="J14" s="153" t="n">
        <v>0.280013037605348</v>
      </c>
      <c r="K14" s="153" t="n">
        <v>0.064355</v>
      </c>
      <c r="L14" s="153" t="n">
        <v>0.1780085968046979</v>
      </c>
      <c r="M14" s="153" t="n">
        <v>0.09479672349945738</v>
      </c>
      <c r="N14" s="154" t="n">
        <v>1.843429570155151</v>
      </c>
      <c r="O14" s="154" t="n">
        <v>1.714268242592185</v>
      </c>
      <c r="P14" s="154" t="n">
        <v>11.50596187381218</v>
      </c>
      <c r="Q14" s="154" t="n">
        <v>15.69030727820343</v>
      </c>
      <c r="R14" s="154" t="n">
        <v>2.820740030819999</v>
      </c>
      <c r="S14" s="154" t="n">
        <v>28.79007688384917</v>
      </c>
      <c r="T14" s="153" t="n">
        <v>0.1748929917996952</v>
      </c>
      <c r="U14" s="153" t="n">
        <v>0.0435110599577894</v>
      </c>
      <c r="V14" s="153" t="n">
        <v>0.05155198245643403</v>
      </c>
      <c r="W14" s="153" t="n">
        <v>0.6799932681628211</v>
      </c>
      <c r="X14" s="153" t="n">
        <v>0.1338814752703728</v>
      </c>
      <c r="Y14" s="153" t="n">
        <v>0.388872338450932</v>
      </c>
      <c r="Z14" s="153" t="n">
        <v>0.3888723384509321</v>
      </c>
      <c r="AA14" s="155" t="n">
        <v>0.1078654681167748</v>
      </c>
    </row>
    <row r="15" customFormat="1" s="140">
      <c r="A15" s="152" t="inlineStr">
        <is>
          <t>Business &amp; Consumer Services</t>
        </is>
      </c>
      <c r="B15" s="76" t="n">
        <v>980</v>
      </c>
      <c r="C15" s="153" t="n">
        <v>0.07475188650306749</v>
      </c>
      <c r="D15" s="153" t="n">
        <v>0.09154535040510697</v>
      </c>
      <c r="E15" s="153" t="n">
        <v>0.2105184018482631</v>
      </c>
      <c r="F15" s="153" t="n">
        <v>0.2471200523511018</v>
      </c>
      <c r="G15" s="154" t="n">
        <v>0.9640724752866631</v>
      </c>
      <c r="H15" s="154" t="n">
        <v>1.042088688198023</v>
      </c>
      <c r="I15" s="153" t="n">
        <v>0.1055978849134933</v>
      </c>
      <c r="J15" s="153" t="n">
        <v>0.3330640976941996</v>
      </c>
      <c r="K15" s="153" t="n">
        <v>0.064355</v>
      </c>
      <c r="L15" s="153" t="n">
        <v>0.1601850697482276</v>
      </c>
      <c r="M15" s="153" t="n">
        <v>0.09638122510357179</v>
      </c>
      <c r="N15" s="154" t="n">
        <v>2.715334288051404</v>
      </c>
      <c r="O15" s="154" t="n">
        <v>2.055733589683018</v>
      </c>
      <c r="P15" s="154" t="n">
        <v>15.44430019728242</v>
      </c>
      <c r="Q15" s="154" t="n">
        <v>21.52398992514562</v>
      </c>
      <c r="R15" s="154" t="n">
        <v>4.425380484914044</v>
      </c>
      <c r="S15" s="154" t="n">
        <v>215.3490542168253</v>
      </c>
      <c r="T15" s="153" t="n">
        <v>0.1053872493081173</v>
      </c>
      <c r="U15" s="153" t="n">
        <v>0.02710004729962024</v>
      </c>
      <c r="V15" s="153" t="n">
        <v>0.01447320508845861</v>
      </c>
      <c r="W15" s="153" t="n">
        <v>0.3041621919138283</v>
      </c>
      <c r="X15" s="153" t="n">
        <v>0.135889117077326</v>
      </c>
      <c r="Y15" s="153" t="n">
        <v>0.5437955896475364</v>
      </c>
      <c r="Z15" s="153" t="n">
        <v>0.5437955896475364</v>
      </c>
      <c r="AA15" s="155" t="n">
        <v>0.09307970415006389</v>
      </c>
    </row>
    <row r="16" customFormat="1" s="140">
      <c r="A16" s="152" t="inlineStr">
        <is>
          <t>Cable TV</t>
        </is>
      </c>
      <c r="B16" s="76" t="n">
        <v>48</v>
      </c>
      <c r="C16" s="153" t="n">
        <v>0.04194268292682929</v>
      </c>
      <c r="D16" s="153" t="n">
        <v>0.1860874361789615</v>
      </c>
      <c r="E16" s="153" t="n">
        <v>0.120043149417117</v>
      </c>
      <c r="F16" s="153" t="n">
        <v>0.2500354333947</v>
      </c>
      <c r="G16" s="154" t="n">
        <v>0.6075774591759452</v>
      </c>
      <c r="H16" s="154" t="n">
        <v>1.021143501777062</v>
      </c>
      <c r="I16" s="153" t="n">
        <v>0.1042552984639097</v>
      </c>
      <c r="J16" s="153" t="n">
        <v>0.3091067406758943</v>
      </c>
      <c r="K16" s="153" t="n">
        <v>0.064355</v>
      </c>
      <c r="L16" s="153" t="n">
        <v>0.4922968022619932</v>
      </c>
      <c r="M16" s="153" t="n">
        <v>0.07659068730916457</v>
      </c>
      <c r="N16" s="154" t="n">
        <v>0.7593723043146429</v>
      </c>
      <c r="O16" s="154" t="n">
        <v>2.541260419151662</v>
      </c>
      <c r="P16" s="154" t="n">
        <v>7.875476369514115</v>
      </c>
      <c r="Q16" s="154" t="n">
        <v>13.84213333568083</v>
      </c>
      <c r="R16" s="154" t="n">
        <v>1.867922154373059</v>
      </c>
      <c r="S16" s="154" t="n">
        <v>34.87596597057485</v>
      </c>
      <c r="T16" s="153" t="n">
        <v>0.007530629820232431</v>
      </c>
      <c r="U16" s="153" t="n">
        <v>0.1415524622155138</v>
      </c>
      <c r="V16" s="153" t="n">
        <v>0.0141279875732966</v>
      </c>
      <c r="W16" s="153" t="n">
        <v>0.1802528247348729</v>
      </c>
      <c r="X16" s="153" t="n">
        <v>0.1588258209350195</v>
      </c>
      <c r="Y16" s="153" t="n">
        <v>0.2472674887044122</v>
      </c>
      <c r="Z16" s="153" t="n">
        <v>0.2472674887044122</v>
      </c>
      <c r="AA16" s="155" t="n">
        <v>0.1826777231704445</v>
      </c>
    </row>
    <row r="17" customFormat="1" s="140">
      <c r="A17" s="152" t="inlineStr">
        <is>
          <t>Chemical (Basic)</t>
        </is>
      </c>
      <c r="B17" s="76" t="n">
        <v>888</v>
      </c>
      <c r="C17" s="153" t="n">
        <v>0.08587208708708725</v>
      </c>
      <c r="D17" s="153" t="n">
        <v>0.04654223591776669</v>
      </c>
      <c r="E17" s="153" t="n">
        <v>0.04639005089702374</v>
      </c>
      <c r="F17" s="153" t="n">
        <v>0.198986793735463</v>
      </c>
      <c r="G17" s="154" t="n">
        <v>0.9019272865434663</v>
      </c>
      <c r="H17" s="154" t="n">
        <v>1.072732065631843</v>
      </c>
      <c r="I17" s="153" t="n">
        <v>0.1075621254070012</v>
      </c>
      <c r="J17" s="153" t="n">
        <v>0.2887733872844873</v>
      </c>
      <c r="K17" s="153" t="n">
        <v>0.064355</v>
      </c>
      <c r="L17" s="153" t="n">
        <v>0.300600281667864</v>
      </c>
      <c r="M17" s="153" t="n">
        <v>0.08967586413830848</v>
      </c>
      <c r="N17" s="154" t="n">
        <v>1.142331199467975</v>
      </c>
      <c r="O17" s="154" t="n">
        <v>1.326768088106094</v>
      </c>
      <c r="P17" s="154" t="n">
        <v>12.70958051084602</v>
      </c>
      <c r="Q17" s="154" t="n">
        <v>26.90677406929441</v>
      </c>
      <c r="R17" s="154" t="n">
        <v>1.464762566663048</v>
      </c>
      <c r="S17" s="154" t="n">
        <v>113.9545111551762</v>
      </c>
      <c r="T17" s="153" t="n">
        <v>0.1310912170427203</v>
      </c>
      <c r="U17" s="153" t="n">
        <v>0.0934087419402236</v>
      </c>
      <c r="V17" s="153" t="n">
        <v>0.06648192201506165</v>
      </c>
      <c r="W17" s="153" t="n">
        <v>1.945903280402446</v>
      </c>
      <c r="X17" s="153" t="n">
        <v>0.03840107305323937</v>
      </c>
      <c r="Y17" s="153" t="n">
        <v>1.417903674459413</v>
      </c>
      <c r="Z17" s="153" t="n">
        <v>1.417903674459413</v>
      </c>
      <c r="AA17" s="155" t="n">
        <v>0.04704576874190065</v>
      </c>
    </row>
    <row r="18" customFormat="1" s="140">
      <c r="A18" s="152" t="inlineStr">
        <is>
          <t>Chemical (Diversified)</t>
        </is>
      </c>
      <c r="B18" s="76" t="n">
        <v>64</v>
      </c>
      <c r="C18" s="153" t="n">
        <v>0.08104345454545453</v>
      </c>
      <c r="D18" s="153" t="n">
        <v>0.06623860123534521</v>
      </c>
      <c r="E18" s="153" t="n">
        <v>0.05445441866355513</v>
      </c>
      <c r="F18" s="153" t="n">
        <v>0.2236777606287059</v>
      </c>
      <c r="G18" s="154" t="n">
        <v>0.8463670076042942</v>
      </c>
      <c r="H18" s="154" t="n">
        <v>1.092675256144532</v>
      </c>
      <c r="I18" s="153" t="n">
        <v>0.1088404839188645</v>
      </c>
      <c r="J18" s="153" t="n">
        <v>0.2236285736387567</v>
      </c>
      <c r="K18" s="153" t="n">
        <v>0.058543</v>
      </c>
      <c r="L18" s="153" t="n">
        <v>0.3577601691273464</v>
      </c>
      <c r="M18" s="153" t="n">
        <v>0.08554293723860608</v>
      </c>
      <c r="N18" s="154" t="n">
        <v>1.081726331904877</v>
      </c>
      <c r="O18" s="154" t="n">
        <v>1.015798225698536</v>
      </c>
      <c r="P18" s="154" t="n">
        <v>7.980261546645112</v>
      </c>
      <c r="Q18" s="154" t="n">
        <v>14.42353398816341</v>
      </c>
      <c r="R18" s="154" t="n">
        <v>1.120549774306598</v>
      </c>
      <c r="S18" s="154" t="n">
        <v>82.99145393349532</v>
      </c>
      <c r="T18" s="153" t="n">
        <v>0.1932783817991698</v>
      </c>
      <c r="U18" s="153" t="n">
        <v>0.07257792118322362</v>
      </c>
      <c r="V18" s="153" t="n">
        <v>0.02999193005123552</v>
      </c>
      <c r="W18" s="153" t="n">
        <v>0.4901686958441052</v>
      </c>
      <c r="X18" s="153" t="n">
        <v>0.02914422276252033</v>
      </c>
      <c r="Y18" s="153" t="n">
        <v>1.707369351568717</v>
      </c>
      <c r="Z18" s="153" t="n">
        <v>1.707369351568717</v>
      </c>
      <c r="AA18" s="155" t="n">
        <v>0.0652882972299422</v>
      </c>
    </row>
    <row r="19" customFormat="1" s="140">
      <c r="A19" s="152" t="inlineStr">
        <is>
          <t>Chemical (Specialty)</t>
        </is>
      </c>
      <c r="B19" s="76" t="n">
        <v>949</v>
      </c>
      <c r="C19" s="153" t="n">
        <v>0.09484867187499994</v>
      </c>
      <c r="D19" s="153" t="n">
        <v>0.1194728960897977</v>
      </c>
      <c r="E19" s="153" t="n">
        <v>0.1238068199434676</v>
      </c>
      <c r="F19" s="153" t="n">
        <v>0.2088836095470917</v>
      </c>
      <c r="G19" s="154" t="n">
        <v>0.9409530206448726</v>
      </c>
      <c r="H19" s="154" t="n">
        <v>1.026813514612005</v>
      </c>
      <c r="I19" s="153" t="n">
        <v>0.1046187462866295</v>
      </c>
      <c r="J19" s="153" t="n">
        <v>0.3121796391835974</v>
      </c>
      <c r="K19" s="153" t="n">
        <v>0.064355</v>
      </c>
      <c r="L19" s="153" t="n">
        <v>0.1787475336085592</v>
      </c>
      <c r="M19" s="153" t="n">
        <v>0.09450906601062781</v>
      </c>
      <c r="N19" s="154" t="n">
        <v>1.209376215744922</v>
      </c>
      <c r="O19" s="154" t="n">
        <v>2.252178902194354</v>
      </c>
      <c r="P19" s="154" t="n">
        <v>12.46623304629339</v>
      </c>
      <c r="Q19" s="154" t="n">
        <v>18.48818072353752</v>
      </c>
      <c r="R19" s="154" t="n">
        <v>2.45031773236886</v>
      </c>
      <c r="S19" s="154" t="n">
        <v>46.34969033804829</v>
      </c>
      <c r="T19" s="153" t="n">
        <v>0.1824192462393981</v>
      </c>
      <c r="U19" s="153" t="n">
        <v>0.0883311163300687</v>
      </c>
      <c r="V19" s="153" t="n">
        <v>0.06737714083011974</v>
      </c>
      <c r="W19" s="153" t="n">
        <v>0.7886187208447869</v>
      </c>
      <c r="X19" s="153" t="n">
        <v>0.1207041227740411</v>
      </c>
      <c r="Y19" s="153" t="n">
        <v>0.5171976243077383</v>
      </c>
      <c r="Z19" s="153" t="n">
        <v>0.5171976243077383</v>
      </c>
      <c r="AA19" s="155" t="n">
        <v>0.1194298797989492</v>
      </c>
    </row>
    <row r="20" customFormat="1" s="140">
      <c r="A20" s="152" t="inlineStr">
        <is>
          <t>Coal &amp; Related Energy</t>
        </is>
      </c>
      <c r="B20" s="76" t="n">
        <v>215</v>
      </c>
      <c r="C20" s="153" t="n">
        <v>0.1478140366972477</v>
      </c>
      <c r="D20" s="153" t="n">
        <v>0.2403135544424395</v>
      </c>
      <c r="E20" s="153" t="n">
        <v>0.3222093355835368</v>
      </c>
      <c r="F20" s="153" t="n">
        <v>0.225593462424923</v>
      </c>
      <c r="G20" s="154" t="n">
        <v>1.077364163914373</v>
      </c>
      <c r="H20" s="154" t="n">
        <v>1.006257019762833</v>
      </c>
      <c r="I20" s="153" t="n">
        <v>0.1033010749667976</v>
      </c>
      <c r="J20" s="153" t="n">
        <v>0.5042147298228632</v>
      </c>
      <c r="K20" s="153" t="n">
        <v>0.067024</v>
      </c>
      <c r="L20" s="153" t="n">
        <v>0.1652060163521258</v>
      </c>
      <c r="M20" s="153" t="n">
        <v>0.09450425905890138</v>
      </c>
      <c r="N20" s="154" t="n">
        <v>1.492147931972908</v>
      </c>
      <c r="O20" s="154" t="n">
        <v>1.307114805453607</v>
      </c>
      <c r="P20" s="154" t="n">
        <v>4.071193117211346</v>
      </c>
      <c r="Q20" s="154" t="n">
        <v>5.173591267456976</v>
      </c>
      <c r="R20" s="154" t="n">
        <v>1.50465380964238</v>
      </c>
      <c r="S20" s="154" t="n">
        <v>25.29555706903644</v>
      </c>
      <c r="T20" s="153" t="n">
        <v>-0.03018693880887219</v>
      </c>
      <c r="U20" s="153" t="n">
        <v>0.0904879921874929</v>
      </c>
      <c r="V20" s="153" t="n">
        <v>0.05122327606808035</v>
      </c>
      <c r="W20" s="153" t="n">
        <v>0.2494508953631392</v>
      </c>
      <c r="X20" s="153" t="n">
        <v>0.2136253482938942</v>
      </c>
      <c r="Y20" s="153" t="n">
        <v>0.7643344174950246</v>
      </c>
      <c r="Z20" s="153" t="n">
        <v>0.7643344174950246</v>
      </c>
      <c r="AA20" s="155" t="n">
        <v>0.2407923047427524</v>
      </c>
    </row>
    <row r="21" customFormat="1" s="140">
      <c r="A21" s="152" t="inlineStr">
        <is>
          <t>Computer Services</t>
        </is>
      </c>
      <c r="B21" s="76" t="n">
        <v>1164</v>
      </c>
      <c r="C21" s="153" t="n">
        <v>0.1030360155239327</v>
      </c>
      <c r="D21" s="153" t="n">
        <v>0.07557906617878256</v>
      </c>
      <c r="E21" s="153" t="n">
        <v>0.2109494966892051</v>
      </c>
      <c r="F21" s="153" t="n">
        <v>0.23628691375717</v>
      </c>
      <c r="G21" s="154" t="n">
        <v>1.001453208627515</v>
      </c>
      <c r="H21" s="154" t="n">
        <v>1.041484274226575</v>
      </c>
      <c r="I21" s="153" t="n">
        <v>0.1055591419779235</v>
      </c>
      <c r="J21" s="153" t="n">
        <v>0.3289536292318079</v>
      </c>
      <c r="K21" s="153" t="n">
        <v>0.064355</v>
      </c>
      <c r="L21" s="153" t="n">
        <v>0.1239104016731352</v>
      </c>
      <c r="M21" s="153" t="n">
        <v>0.09843443910744448</v>
      </c>
      <c r="N21" s="154" t="n">
        <v>3.286120517768366</v>
      </c>
      <c r="O21" s="154" t="n">
        <v>1.524589887396944</v>
      </c>
      <c r="P21" s="154" t="n">
        <v>14.67756417164704</v>
      </c>
      <c r="Q21" s="154" t="n">
        <v>19.46310136759259</v>
      </c>
      <c r="R21" s="154" t="n">
        <v>3.9981872658666</v>
      </c>
      <c r="S21" s="154" t="n">
        <v>64.47124345561164</v>
      </c>
      <c r="T21" s="153" t="n">
        <v>0.1535863826889238</v>
      </c>
      <c r="U21" s="153" t="n">
        <v>0.01531763271871655</v>
      </c>
      <c r="V21" s="153" t="n">
        <v>0.01134201586897256</v>
      </c>
      <c r="W21" s="153" t="n">
        <v>0.2766352009390598</v>
      </c>
      <c r="X21" s="153" t="n">
        <v>0.1601773080673477</v>
      </c>
      <c r="Y21" s="153" t="n">
        <v>0.5307109222033555</v>
      </c>
      <c r="Z21" s="153" t="n">
        <v>0.5307109222033555</v>
      </c>
      <c r="AA21" s="155" t="n">
        <v>0.07681953889911772</v>
      </c>
    </row>
    <row r="22" customFormat="1" s="140">
      <c r="A22" s="152" t="inlineStr">
        <is>
          <t>Computers/Peripherals</t>
        </is>
      </c>
      <c r="B22" s="76" t="n">
        <v>338</v>
      </c>
      <c r="C22" s="153" t="n">
        <v>0.005776498054474725</v>
      </c>
      <c r="D22" s="153" t="n">
        <v>0.1139091439203525</v>
      </c>
      <c r="E22" s="153" t="n">
        <v>0.1574768445956785</v>
      </c>
      <c r="F22" s="153" t="n">
        <v>0.150965347853491</v>
      </c>
      <c r="G22" s="154" t="n">
        <v>1.253402148026468</v>
      </c>
      <c r="H22" s="154" t="n">
        <v>1.266597921369436</v>
      </c>
      <c r="I22" s="153" t="n">
        <v>0.1199889267597808</v>
      </c>
      <c r="J22" s="153" t="n">
        <v>0.3293574117410402</v>
      </c>
      <c r="K22" s="153" t="n">
        <v>0.064355</v>
      </c>
      <c r="L22" s="153" t="n">
        <v>0.07029824234814785</v>
      </c>
      <c r="M22" s="153" t="n">
        <v>0.1149324717082277</v>
      </c>
      <c r="N22" s="154" t="n">
        <v>1.636495800425118</v>
      </c>
      <c r="O22" s="154" t="n">
        <v>3.048158321112969</v>
      </c>
      <c r="P22" s="154" t="n">
        <v>18.66150571543085</v>
      </c>
      <c r="Q22" s="154" t="n">
        <v>26.4426629923273</v>
      </c>
      <c r="R22" s="154" t="n">
        <v>6.798948105569137</v>
      </c>
      <c r="S22" s="154" t="n">
        <v>54.68242205651197</v>
      </c>
      <c r="T22" s="153" t="n">
        <v>0.02095592540533806</v>
      </c>
      <c r="U22" s="153" t="n">
        <v>0.05684993206583066</v>
      </c>
      <c r="V22" s="153" t="n">
        <v>0.03459362497160209</v>
      </c>
      <c r="W22" s="153" t="n">
        <v>0.3894336567926732</v>
      </c>
      <c r="X22" s="153" t="n">
        <v>0.284475772341917</v>
      </c>
      <c r="Y22" s="153" t="n">
        <v>0.2486775722668821</v>
      </c>
      <c r="Z22" s="153" t="n">
        <v>0.2486775722668821</v>
      </c>
      <c r="AA22" s="155" t="n">
        <v>0.1101323984759539</v>
      </c>
    </row>
    <row r="23" customFormat="1" s="140">
      <c r="A23" s="152" t="inlineStr">
        <is>
          <t>Construction Supplies</t>
        </is>
      </c>
      <c r="B23" s="76" t="n">
        <v>453</v>
      </c>
      <c r="C23" s="153" t="n">
        <v>0.0947587535410766</v>
      </c>
      <c r="D23" s="153" t="n">
        <v>0.09885472966974512</v>
      </c>
      <c r="E23" s="153" t="n">
        <v>0.07751342687221313</v>
      </c>
      <c r="F23" s="153" t="n">
        <v>0.2283090213058989</v>
      </c>
      <c r="G23" s="154" t="n">
        <v>0.7370042774165693</v>
      </c>
      <c r="H23" s="154" t="n">
        <v>0.895001901863798</v>
      </c>
      <c r="I23" s="153" t="n">
        <v>0.09616962190946945</v>
      </c>
      <c r="J23" s="153" t="n">
        <v>0.2686501702694912</v>
      </c>
      <c r="K23" s="153" t="n">
        <v>0.064355</v>
      </c>
      <c r="L23" s="153" t="n">
        <v>0.299224391808635</v>
      </c>
      <c r="M23" s="153" t="n">
        <v>0.0817741435099241</v>
      </c>
      <c r="N23" s="154" t="n">
        <v>0.9489478758270179</v>
      </c>
      <c r="O23" s="154" t="n">
        <v>1.652955190570224</v>
      </c>
      <c r="P23" s="154" t="n">
        <v>10.16500015765312</v>
      </c>
      <c r="Q23" s="154" t="n">
        <v>16.38728722448603</v>
      </c>
      <c r="R23" s="154" t="n">
        <v>1.320212262212167</v>
      </c>
      <c r="S23" s="154" t="n">
        <v>82.49117055020066</v>
      </c>
      <c r="T23" s="153" t="n">
        <v>0.1329862764554581</v>
      </c>
      <c r="U23" s="153" t="n">
        <v>0.07872167872039537</v>
      </c>
      <c r="V23" s="153" t="n">
        <v>0.04200794563938072</v>
      </c>
      <c r="W23" s="153" t="n">
        <v>0.7819342931226485</v>
      </c>
      <c r="X23" s="153" t="n">
        <v>0.08367748568543604</v>
      </c>
      <c r="Y23" s="153" t="n">
        <v>0.4649157952623415</v>
      </c>
      <c r="Z23" s="153" t="n">
        <v>0.4649157952623415</v>
      </c>
      <c r="AA23" s="155" t="n">
        <v>0.09853962250230687</v>
      </c>
    </row>
    <row r="24" customFormat="1" s="140">
      <c r="A24" s="152" t="inlineStr">
        <is>
          <t>Diversified</t>
        </is>
      </c>
      <c r="B24" s="76" t="n">
        <v>326</v>
      </c>
      <c r="C24" s="153" t="n">
        <v>0.0809149397590361</v>
      </c>
      <c r="D24" s="153" t="n">
        <v>0.1563895574305564</v>
      </c>
      <c r="E24" s="153" t="n">
        <v>0.1194353186017891</v>
      </c>
      <c r="F24" s="153" t="n">
        <v>0.1738365090757723</v>
      </c>
      <c r="G24" s="154" t="n">
        <v>0.7447055221431194</v>
      </c>
      <c r="H24" s="154" t="n">
        <v>0.9535674979014129</v>
      </c>
      <c r="I24" s="153" t="n">
        <v>0.09992367661548057</v>
      </c>
      <c r="J24" s="153" t="n">
        <v>0.2713903517710712</v>
      </c>
      <c r="K24" s="153" t="n">
        <v>0.064355</v>
      </c>
      <c r="L24" s="153" t="n">
        <v>0.3400614823470114</v>
      </c>
      <c r="M24" s="153" t="n">
        <v>0.08228694464495967</v>
      </c>
      <c r="N24" s="154" t="n">
        <v>0.8544472236675212</v>
      </c>
      <c r="O24" s="154" t="n">
        <v>1.830848531973956</v>
      </c>
      <c r="P24" s="154" t="n">
        <v>8.93183424031537</v>
      </c>
      <c r="Q24" s="154" t="n">
        <v>11.14103505486585</v>
      </c>
      <c r="R24" s="154" t="n">
        <v>1.224014358028499</v>
      </c>
      <c r="S24" s="154" t="n">
        <v>18.1710791961074</v>
      </c>
      <c r="T24" s="153" t="n">
        <v>-0.09452790124570304</v>
      </c>
      <c r="U24" s="153" t="n">
        <v>0.04896904284811623</v>
      </c>
      <c r="V24" s="153" t="n">
        <v>0.03612372317675382</v>
      </c>
      <c r="W24" s="153" t="n">
        <v>0.3708958339722381</v>
      </c>
      <c r="X24" s="153" t="n">
        <v>0.1309759974200245</v>
      </c>
      <c r="Y24" s="153" t="n">
        <v>0.2006534531062624</v>
      </c>
      <c r="Z24" s="153" t="n">
        <v>0.2006534531062625</v>
      </c>
      <c r="AA24" s="155" t="n">
        <v>0.1623363593703388</v>
      </c>
    </row>
    <row r="25" customFormat="1" s="140">
      <c r="A25" s="152" t="inlineStr">
        <is>
          <t>Drugs (Biotechnology)</t>
        </is>
      </c>
      <c r="B25" s="76" t="n">
        <v>1259</v>
      </c>
      <c r="C25" s="153" t="n">
        <v>0.2020550624999999</v>
      </c>
      <c r="D25" s="153" t="n">
        <v>-0.004349654165448907</v>
      </c>
      <c r="E25" s="153" t="n">
        <v>0.006930262546204215</v>
      </c>
      <c r="F25" s="153" t="n">
        <v>0.1629031836279945</v>
      </c>
      <c r="G25" s="154" t="n">
        <v>1.14995807594927</v>
      </c>
      <c r="H25" s="154" t="n">
        <v>1.173586127245845</v>
      </c>
      <c r="I25" s="153" t="n">
        <v>0.1140268707564587</v>
      </c>
      <c r="J25" s="153" t="n">
        <v>0.5327835684030338</v>
      </c>
      <c r="K25" s="153" t="n">
        <v>0.067024</v>
      </c>
      <c r="L25" s="153" t="n">
        <v>0.1253938861785375</v>
      </c>
      <c r="M25" s="153" t="n">
        <v>0.1060050040945041</v>
      </c>
      <c r="N25" s="154" t="n">
        <v>0.4224018531621076</v>
      </c>
      <c r="O25" s="154" t="n">
        <v>6.964534970809306</v>
      </c>
      <c r="P25" s="154" t="n">
        <v>15.31554115404333</v>
      </c>
      <c r="Q25" s="154" t="inlineStr">
        <is>
          <t>NA</t>
        </is>
      </c>
      <c r="R25" s="154" t="n">
        <v>5.10988509211295</v>
      </c>
      <c r="S25" s="154" t="n">
        <v>127.8356537479798</v>
      </c>
      <c r="T25" s="153" t="n">
        <v>0.1715698451274533</v>
      </c>
      <c r="U25" s="153" t="n">
        <v>0.05670880114214901</v>
      </c>
      <c r="V25" s="153" t="n">
        <v>0.09623601001085437</v>
      </c>
      <c r="W25" s="153" t="inlineStr">
        <is>
          <t>NA</t>
        </is>
      </c>
      <c r="X25" s="153" t="n">
        <v>-0.08826768540176429</v>
      </c>
      <c r="Y25" s="153" t="n">
        <v>0.004660050948575847</v>
      </c>
      <c r="Z25" s="153" t="n">
        <v>0.0046600509485758</v>
      </c>
      <c r="AA25" s="155" t="n">
        <v>0.01629347728461251</v>
      </c>
    </row>
    <row r="26" customFormat="1" s="140">
      <c r="A26" s="152" t="inlineStr">
        <is>
          <t>Drugs (Pharmaceutical)</t>
        </is>
      </c>
      <c r="B26" s="76" t="n">
        <v>1299</v>
      </c>
      <c r="C26" s="153" t="n">
        <v>0.1801146291560104</v>
      </c>
      <c r="D26" s="153" t="n">
        <v>0.1817107758918814</v>
      </c>
      <c r="E26" s="153" t="n">
        <v>0.1286808812517202</v>
      </c>
      <c r="F26" s="153" t="n">
        <v>0.1660934161318864</v>
      </c>
      <c r="G26" s="154" t="n">
        <v>0.8857751370446862</v>
      </c>
      <c r="H26" s="154" t="n">
        <v>0.9463176964388154</v>
      </c>
      <c r="I26" s="153" t="n">
        <v>0.09945896434172807</v>
      </c>
      <c r="J26" s="153" t="n">
        <v>0.4151255706525531</v>
      </c>
      <c r="K26" s="153" t="n">
        <v>0.064355</v>
      </c>
      <c r="L26" s="153" t="n">
        <v>0.1335671720591537</v>
      </c>
      <c r="M26" s="153" t="n">
        <v>0.09259379196792619</v>
      </c>
      <c r="N26" s="154" t="n">
        <v>0.7133575578287207</v>
      </c>
      <c r="O26" s="154" t="n">
        <v>4.05018629572711</v>
      </c>
      <c r="P26" s="154" t="n">
        <v>14.60113338333944</v>
      </c>
      <c r="Q26" s="154" t="n">
        <v>21.71034004255331</v>
      </c>
      <c r="R26" s="154" t="n">
        <v>3.88053287841363</v>
      </c>
      <c r="S26" s="154" t="n">
        <v>41.50646703224002</v>
      </c>
      <c r="T26" s="153" t="n">
        <v>0.1549497814938558</v>
      </c>
      <c r="U26" s="153" t="n">
        <v>0.05012617690621863</v>
      </c>
      <c r="V26" s="153" t="n">
        <v>0.0570923035248683</v>
      </c>
      <c r="W26" s="153" t="n">
        <v>0.4421980861514409</v>
      </c>
      <c r="X26" s="153" t="n">
        <v>0.1320495536808119</v>
      </c>
      <c r="Y26" s="153" t="n">
        <v>0.6354262724578483</v>
      </c>
      <c r="Z26" s="153" t="n">
        <v>0.6354262724578483</v>
      </c>
      <c r="AA26" s="155" t="n">
        <v>0.1979065472447306</v>
      </c>
    </row>
    <row r="27" customFormat="1" s="140">
      <c r="A27" s="152" t="inlineStr">
        <is>
          <t>Education</t>
        </is>
      </c>
      <c r="B27" s="76" t="n">
        <v>260</v>
      </c>
      <c r="C27" s="153" t="n">
        <v>0.1049271523178808</v>
      </c>
      <c r="D27" s="153" t="n">
        <v>0.1106850183114041</v>
      </c>
      <c r="E27" s="153" t="n">
        <v>0.09268476409209106</v>
      </c>
      <c r="F27" s="153" t="n">
        <v>0.2011551447949943</v>
      </c>
      <c r="G27" s="154" t="n">
        <v>0.7600481938472526</v>
      </c>
      <c r="H27" s="154" t="n">
        <v>0.8310438951693125</v>
      </c>
      <c r="I27" s="153" t="n">
        <v>0.09206991368035294</v>
      </c>
      <c r="J27" s="153" t="n">
        <v>0.3452563908096794</v>
      </c>
      <c r="K27" s="153" t="n">
        <v>0.064355</v>
      </c>
      <c r="L27" s="153" t="n">
        <v>0.2238175015251615</v>
      </c>
      <c r="M27" s="153" t="n">
        <v>0.08221979503677379</v>
      </c>
      <c r="N27" s="154" t="n">
        <v>0.9700013526960019</v>
      </c>
      <c r="O27" s="154" t="n">
        <v>2.286334120028916</v>
      </c>
      <c r="P27" s="154" t="n">
        <v>10.92084133436804</v>
      </c>
      <c r="Q27" s="154" t="n">
        <v>18.17008432596224</v>
      </c>
      <c r="R27" s="154" t="n">
        <v>1.945981275121725</v>
      </c>
      <c r="S27" s="154" t="n">
        <v>125.4237648269257</v>
      </c>
      <c r="T27" s="153" t="n">
        <v>0.03476184054372254</v>
      </c>
      <c r="U27" s="153" t="n">
        <v>0.05720212904410806</v>
      </c>
      <c r="V27" s="153" t="n">
        <v>0.03012177665618998</v>
      </c>
      <c r="W27" s="153" t="n">
        <v>0.5759498657784392</v>
      </c>
      <c r="X27" s="153" t="n">
        <v>0.0511818713887653</v>
      </c>
      <c r="Y27" s="153" t="n">
        <v>0.5770804164162725</v>
      </c>
      <c r="Z27" s="153" t="n">
        <v>0.5770804164162725</v>
      </c>
      <c r="AA27" s="155" t="n">
        <v>0.1089354913518312</v>
      </c>
    </row>
    <row r="28" customFormat="1" s="140">
      <c r="A28" s="152" t="inlineStr">
        <is>
          <t>Electrical Equipment</t>
        </is>
      </c>
      <c r="B28" s="76" t="n">
        <v>1072</v>
      </c>
      <c r="C28" s="153" t="n">
        <v>0.1064847262247839</v>
      </c>
      <c r="D28" s="153" t="n">
        <v>0.07125667037299779</v>
      </c>
      <c r="E28" s="153" t="n">
        <v>0.1090031286572809</v>
      </c>
      <c r="F28" s="153" t="n">
        <v>0.1877640569768876</v>
      </c>
      <c r="G28" s="154" t="n">
        <v>1.103838014029021</v>
      </c>
      <c r="H28" s="154" t="n">
        <v>1.130443777999827</v>
      </c>
      <c r="I28" s="153" t="n">
        <v>0.1112614461697889</v>
      </c>
      <c r="J28" s="153" t="n">
        <v>0.3511338511809448</v>
      </c>
      <c r="K28" s="153" t="n">
        <v>0.064355</v>
      </c>
      <c r="L28" s="153" t="n">
        <v>0.1498226172659974</v>
      </c>
      <c r="M28" s="153" t="n">
        <v>0.1017924871339369</v>
      </c>
      <c r="N28" s="154" t="n">
        <v>1.665499126878827</v>
      </c>
      <c r="O28" s="154" t="n">
        <v>1.937473915590826</v>
      </c>
      <c r="P28" s="154" t="n">
        <v>15.54638696150563</v>
      </c>
      <c r="Q28" s="154" t="n">
        <v>24.88578876473836</v>
      </c>
      <c r="R28" s="154" t="n">
        <v>2.820104066977895</v>
      </c>
      <c r="S28" s="154" t="n">
        <v>97.34873031868192</v>
      </c>
      <c r="T28" s="153" t="n">
        <v>0.2172457020761716</v>
      </c>
      <c r="U28" s="153" t="n">
        <v>0.06886198879542427</v>
      </c>
      <c r="V28" s="153" t="n">
        <v>0.0602638399325137</v>
      </c>
      <c r="W28" s="153" t="n">
        <v>1.622376012024406</v>
      </c>
      <c r="X28" s="153" t="n">
        <v>0.1085533752823515</v>
      </c>
      <c r="Y28" s="153" t="n">
        <v>0.3938315660428016</v>
      </c>
      <c r="Z28" s="153" t="n">
        <v>0.3938315660428016</v>
      </c>
      <c r="AA28" s="155" t="n">
        <v>0.07392852706932726</v>
      </c>
    </row>
    <row r="29" customFormat="1" s="140">
      <c r="A29" s="152" t="inlineStr">
        <is>
          <t>Electronics (Consumer &amp; Office)</t>
        </is>
      </c>
      <c r="B29" s="76" t="n">
        <v>127</v>
      </c>
      <c r="C29" s="153" t="n">
        <v>0.03044886597938143</v>
      </c>
      <c r="D29" s="153" t="n">
        <v>0.046753507335938</v>
      </c>
      <c r="E29" s="153" t="n">
        <v>0.06228160898636136</v>
      </c>
      <c r="F29" s="153" t="n">
        <v>0.1451118884594938</v>
      </c>
      <c r="G29" s="154" t="n">
        <v>1.125247754358041</v>
      </c>
      <c r="H29" s="154" t="n">
        <v>1.227220901903596</v>
      </c>
      <c r="I29" s="153" t="n">
        <v>0.1174648598120205</v>
      </c>
      <c r="J29" s="153" t="n">
        <v>0.3386099393495337</v>
      </c>
      <c r="K29" s="153" t="n">
        <v>0.064355</v>
      </c>
      <c r="L29" s="153" t="n">
        <v>0.2324042985755658</v>
      </c>
      <c r="M29" s="153" t="n">
        <v>0.1013349450246221</v>
      </c>
      <c r="N29" s="154" t="n">
        <v>1.479501069769991</v>
      </c>
      <c r="O29" s="154" t="n">
        <v>0.9372307095413654</v>
      </c>
      <c r="P29" s="154" t="n">
        <v>11.43555656077621</v>
      </c>
      <c r="Q29" s="154" t="n">
        <v>19.48595375918127</v>
      </c>
      <c r="R29" s="154" t="n">
        <v>1.722199182829783</v>
      </c>
      <c r="S29" s="154" t="n">
        <v>40.79347758155905</v>
      </c>
      <c r="T29" s="153" t="n">
        <v>0.06626061355356103</v>
      </c>
      <c r="U29" s="153" t="n">
        <v>0.04199658621982045</v>
      </c>
      <c r="V29" s="153" t="n">
        <v>0.02695762480984411</v>
      </c>
      <c r="W29" s="153" t="n">
        <v>0.8712160994984535</v>
      </c>
      <c r="X29" s="153" t="n">
        <v>0.07310350523512295</v>
      </c>
      <c r="Y29" s="153" t="n">
        <v>0.3224098927386553</v>
      </c>
      <c r="Z29" s="153" t="n">
        <v>0.3224098927386554</v>
      </c>
      <c r="AA29" s="155" t="n">
        <v>0.04747583867372249</v>
      </c>
    </row>
    <row r="30" customFormat="1" s="140">
      <c r="A30" s="152" t="inlineStr">
        <is>
          <t>Electronics (General)</t>
        </is>
      </c>
      <c r="B30" s="76" t="n">
        <v>1486</v>
      </c>
      <c r="C30" s="153" t="n">
        <v>0.05838610294117647</v>
      </c>
      <c r="D30" s="153" t="n">
        <v>0.05281636266438131</v>
      </c>
      <c r="E30" s="153" t="n">
        <v>0.06442013008104083</v>
      </c>
      <c r="F30" s="153" t="n">
        <v>0.1836337303776496</v>
      </c>
      <c r="G30" s="154" t="n">
        <v>1.278330881257121</v>
      </c>
      <c r="H30" s="154" t="n">
        <v>1.281963924963085</v>
      </c>
      <c r="I30" s="153" t="n">
        <v>0.1209738875901337</v>
      </c>
      <c r="J30" s="153" t="n">
        <v>0.3253309852456645</v>
      </c>
      <c r="K30" s="153" t="n">
        <v>0.064355</v>
      </c>
      <c r="L30" s="153" t="n">
        <v>0.1570780939611312</v>
      </c>
      <c r="M30" s="153" t="n">
        <v>0.1095207624267009</v>
      </c>
      <c r="N30" s="154" t="n">
        <v>1.359642005406032</v>
      </c>
      <c r="O30" s="154" t="n">
        <v>1.590247223586872</v>
      </c>
      <c r="P30" s="154" t="n">
        <v>14.16226628196645</v>
      </c>
      <c r="Q30" s="154" t="n">
        <v>28.29354786605591</v>
      </c>
      <c r="R30" s="154" t="n">
        <v>2.271368015406027</v>
      </c>
      <c r="S30" s="154" t="n">
        <v>102.0009865712752</v>
      </c>
      <c r="T30" s="153" t="n">
        <v>0.1892048055075262</v>
      </c>
      <c r="U30" s="153" t="n">
        <v>0.06311217680124023</v>
      </c>
      <c r="V30" s="153" t="n">
        <v>0.03571937444832823</v>
      </c>
      <c r="W30" s="153" t="n">
        <v>0.9658046997915983</v>
      </c>
      <c r="X30" s="153" t="n">
        <v>0.0668240423779097</v>
      </c>
      <c r="Y30" s="153" t="n">
        <v>0.619116019722317</v>
      </c>
      <c r="Z30" s="153" t="n">
        <v>0.619116019722317</v>
      </c>
      <c r="AA30" s="155" t="n">
        <v>0.05340382332713353</v>
      </c>
    </row>
    <row r="31" customFormat="1" s="140">
      <c r="A31" s="152" t="inlineStr">
        <is>
          <t>Engineering/Construction</t>
        </is>
      </c>
      <c r="B31" s="76" t="n">
        <v>1623</v>
      </c>
      <c r="C31" s="153" t="n">
        <v>0.06363252204585518</v>
      </c>
      <c r="D31" s="153" t="n">
        <v>0.05683067060683776</v>
      </c>
      <c r="E31" s="153" t="n">
        <v>0.08783276886248736</v>
      </c>
      <c r="F31" s="153" t="n">
        <v>0.2255085051566379</v>
      </c>
      <c r="G31" s="154" t="n">
        <v>0.8082988999626253</v>
      </c>
      <c r="H31" s="154" t="n">
        <v>1.013417335623062</v>
      </c>
      <c r="I31" s="153" t="n">
        <v>0.1037600512134383</v>
      </c>
      <c r="J31" s="153" t="n">
        <v>0.3052175468207987</v>
      </c>
      <c r="K31" s="153" t="n">
        <v>0.064355</v>
      </c>
      <c r="L31" s="153" t="n">
        <v>0.4013768440337154</v>
      </c>
      <c r="M31" s="153" t="n">
        <v>0.08140346647720113</v>
      </c>
      <c r="N31" s="154" t="n">
        <v>1.795539989645059</v>
      </c>
      <c r="O31" s="154" t="n">
        <v>0.7826554304113265</v>
      </c>
      <c r="P31" s="154" t="n">
        <v>9.396391718268079</v>
      </c>
      <c r="Q31" s="154" t="n">
        <v>13.16986046789762</v>
      </c>
      <c r="R31" s="154" t="n">
        <v>1.306543727898785</v>
      </c>
      <c r="S31" s="154" t="n">
        <v>42.84328069717462</v>
      </c>
      <c r="T31" s="153" t="n">
        <v>0.1592266711513676</v>
      </c>
      <c r="U31" s="153" t="n">
        <v>0.03367121960856748</v>
      </c>
      <c r="V31" s="153" t="n">
        <v>0.02230221597511066</v>
      </c>
      <c r="W31" s="153" t="n">
        <v>1.072798661993046</v>
      </c>
      <c r="X31" s="153" t="n">
        <v>0.1008051912952801</v>
      </c>
      <c r="Y31" s="153" t="n">
        <v>0.534668788721031</v>
      </c>
      <c r="Z31" s="153" t="n">
        <v>0.534668788721031</v>
      </c>
      <c r="AA31" s="155" t="n">
        <v>0.05768974278562709</v>
      </c>
    </row>
    <row r="32" customFormat="1" s="140">
      <c r="A32" s="152" t="inlineStr">
        <is>
          <t>Entertainment</t>
        </is>
      </c>
      <c r="B32" s="76" t="n">
        <v>741</v>
      </c>
      <c r="C32" s="153" t="n">
        <v>0.09607665178571433</v>
      </c>
      <c r="D32" s="153" t="n">
        <v>0.0730145592995516</v>
      </c>
      <c r="E32" s="153" t="n">
        <v>0.07471394705446395</v>
      </c>
      <c r="F32" s="153" t="n">
        <v>0.2210486612678525</v>
      </c>
      <c r="G32" s="154" t="n">
        <v>1.032645697681921</v>
      </c>
      <c r="H32" s="154" t="n">
        <v>1.10807176662517</v>
      </c>
      <c r="I32" s="153" t="n">
        <v>0.1098274002406734</v>
      </c>
      <c r="J32" s="153" t="n">
        <v>0.4135076735978356</v>
      </c>
      <c r="K32" s="153" t="n">
        <v>0.064355</v>
      </c>
      <c r="L32" s="153" t="n">
        <v>0.1821296870861416</v>
      </c>
      <c r="M32" s="153" t="n">
        <v>0.09857778015143687</v>
      </c>
      <c r="N32" s="154" t="n">
        <v>1.090396472899039</v>
      </c>
      <c r="O32" s="154" t="n">
        <v>2.912540825477085</v>
      </c>
      <c r="P32" s="154" t="n">
        <v>15.77637640940652</v>
      </c>
      <c r="Q32" s="154" t="n">
        <v>36.43575419497701</v>
      </c>
      <c r="R32" s="154" t="n">
        <v>2.478243757744574</v>
      </c>
      <c r="S32" s="154" t="n">
        <v>156.1671616881115</v>
      </c>
      <c r="T32" s="153" t="n">
        <v>0.03998354131040729</v>
      </c>
      <c r="U32" s="153" t="n">
        <v>0.03719147075138465</v>
      </c>
      <c r="V32" s="153" t="n">
        <v>-0.02554945149346416</v>
      </c>
      <c r="W32" s="153" t="n">
        <v>-0.3412171459861457</v>
      </c>
      <c r="X32" s="153" t="n">
        <v>0.02266695055525659</v>
      </c>
      <c r="Y32" s="153" t="n">
        <v>0.8923656321785706</v>
      </c>
      <c r="Z32" s="153" t="n">
        <v>0.8923656321785706</v>
      </c>
      <c r="AA32" s="155" t="n">
        <v>0.07479552339549587</v>
      </c>
    </row>
    <row r="33" customFormat="1" s="140">
      <c r="A33" s="152" t="inlineStr">
        <is>
          <t>Environmental &amp; Waste Services</t>
        </is>
      </c>
      <c r="B33" s="76" t="n">
        <v>383</v>
      </c>
      <c r="C33" s="153" t="n">
        <v>0.08214126829268296</v>
      </c>
      <c r="D33" s="153" t="n">
        <v>0.1059427762504348</v>
      </c>
      <c r="E33" s="153" t="n">
        <v>0.1077603586999242</v>
      </c>
      <c r="F33" s="153" t="n">
        <v>0.2282857280963969</v>
      </c>
      <c r="G33" s="154" t="n">
        <v>0.8279088564359456</v>
      </c>
      <c r="H33" s="154" t="n">
        <v>1.001879331624038</v>
      </c>
      <c r="I33" s="153" t="n">
        <v>0.1030204651571008</v>
      </c>
      <c r="J33" s="153" t="n">
        <v>0.3388816224065517</v>
      </c>
      <c r="K33" s="153" t="n">
        <v>0.064355</v>
      </c>
      <c r="L33" s="153" t="n">
        <v>0.2593042957980482</v>
      </c>
      <c r="M33" s="153" t="n">
        <v>0.0887690618643545</v>
      </c>
      <c r="N33" s="154" t="n">
        <v>1.159020805834005</v>
      </c>
      <c r="O33" s="154" t="n">
        <v>2.775901098061718</v>
      </c>
      <c r="P33" s="154" t="n">
        <v>14.04470504111707</v>
      </c>
      <c r="Q33" s="154" t="n">
        <v>24.86101311873021</v>
      </c>
      <c r="R33" s="154" t="n">
        <v>3.01925936915418</v>
      </c>
      <c r="S33" s="154" t="n">
        <v>39.26285294619103</v>
      </c>
      <c r="T33" s="153" t="n">
        <v>0.1471449388482264</v>
      </c>
      <c r="U33" s="153" t="n">
        <v>0.08649034994585089</v>
      </c>
      <c r="V33" s="153" t="n">
        <v>0.07450731664583768</v>
      </c>
      <c r="W33" s="153" t="n">
        <v>1.34687362139935</v>
      </c>
      <c r="X33" s="153" t="n">
        <v>0.08068341683507488</v>
      </c>
      <c r="Y33" s="153" t="n">
        <v>0.631674032282756</v>
      </c>
      <c r="Z33" s="153" t="n">
        <v>0.631674032282756</v>
      </c>
      <c r="AA33" s="155" t="n">
        <v>0.1071290553326032</v>
      </c>
    </row>
    <row r="34" customFormat="1" s="140">
      <c r="A34" s="152" t="inlineStr">
        <is>
          <t>Farming/Agriculture</t>
        </is>
      </c>
      <c r="B34" s="76" t="n">
        <v>430</v>
      </c>
      <c r="C34" s="153" t="n">
        <v>0.1106916611295682</v>
      </c>
      <c r="D34" s="153" t="n">
        <v>0.08155918853538355</v>
      </c>
      <c r="E34" s="153" t="n">
        <v>0.1056463869826762</v>
      </c>
      <c r="F34" s="153" t="n">
        <v>0.214655981916523</v>
      </c>
      <c r="G34" s="154" t="n">
        <v>0.5739833900965208</v>
      </c>
      <c r="H34" s="154" t="n">
        <v>0.7739207856809716</v>
      </c>
      <c r="I34" s="153" t="n">
        <v>0.08840832236215028</v>
      </c>
      <c r="J34" s="153" t="n">
        <v>0.340547923507063</v>
      </c>
      <c r="K34" s="153" t="n">
        <v>0.064355</v>
      </c>
      <c r="L34" s="153" t="n">
        <v>0.3668700240349542</v>
      </c>
      <c r="M34" s="153" t="n">
        <v>0.07360584756456567</v>
      </c>
      <c r="N34" s="154" t="n">
        <v>1.454683204925467</v>
      </c>
      <c r="O34" s="154" t="n">
        <v>1.083445156327122</v>
      </c>
      <c r="P34" s="154" t="n">
        <v>9.748963134960205</v>
      </c>
      <c r="Q34" s="154" t="n">
        <v>12.67416573044666</v>
      </c>
      <c r="R34" s="154" t="n">
        <v>1.826141011329282</v>
      </c>
      <c r="S34" s="154" t="n">
        <v>26.81198835567082</v>
      </c>
      <c r="T34" s="153" t="n">
        <v>0.1620209245358258</v>
      </c>
      <c r="U34" s="153" t="n">
        <v>0.04191540951324291</v>
      </c>
      <c r="V34" s="153" t="n">
        <v>0.02711997974789466</v>
      </c>
      <c r="W34" s="153" t="n">
        <v>0.5982715203228036</v>
      </c>
      <c r="X34" s="153" t="n">
        <v>0.1447101350456033</v>
      </c>
      <c r="Y34" s="153" t="n">
        <v>0.3302337401562339</v>
      </c>
      <c r="Z34" s="153" t="n">
        <v>0.3302337401562339</v>
      </c>
      <c r="AA34" s="155" t="n">
        <v>0.08378458499710376</v>
      </c>
    </row>
    <row r="35" customFormat="1" s="140">
      <c r="A35" s="152" t="inlineStr">
        <is>
          <t>Financial Svcs. (Non-bank &amp; Insurance)</t>
        </is>
      </c>
      <c r="B35" s="76" t="n">
        <v>1258</v>
      </c>
      <c r="C35" s="153" t="n">
        <v>0.1256227610208815</v>
      </c>
      <c r="D35" s="153" t="n">
        <v>0.1267616379891109</v>
      </c>
      <c r="E35" s="153" t="n">
        <v>0.009409818108886902</v>
      </c>
      <c r="F35" s="153" t="n">
        <v>0.1718620810102867</v>
      </c>
      <c r="G35" s="154" t="n">
        <v>0.2776441797272336</v>
      </c>
      <c r="H35" s="154" t="n">
        <v>0.9064411039954449</v>
      </c>
      <c r="I35" s="153" t="n">
        <v>0.09690287476610801</v>
      </c>
      <c r="J35" s="153" t="n">
        <v>0.3460847428655315</v>
      </c>
      <c r="K35" s="153" t="n">
        <v>0.064355</v>
      </c>
      <c r="L35" s="153" t="n">
        <v>0.769858073060975</v>
      </c>
      <c r="M35" s="153" t="n">
        <v>0.05930103505134852</v>
      </c>
      <c r="N35" s="154" t="n">
        <v>0.08586641297086685</v>
      </c>
      <c r="O35" s="154" t="n">
        <v>14.42725402138707</v>
      </c>
      <c r="P35" s="154" t="n">
        <v>48.68547790812006</v>
      </c>
      <c r="Q35" s="154" t="n">
        <v>67.19285000590006</v>
      </c>
      <c r="R35" s="154" t="n">
        <v>2.242307342455666</v>
      </c>
      <c r="S35" s="154" t="n">
        <v>75.5382877110427</v>
      </c>
      <c r="T35" s="153" t="inlineStr">
        <is>
          <t>NA</t>
        </is>
      </c>
      <c r="U35" s="153" t="n">
        <v>0.04002105386320324</v>
      </c>
      <c r="V35" s="153" t="n">
        <v>-0.07381992346982927</v>
      </c>
      <c r="W35" s="153" t="n">
        <v>-0.6865570915945256</v>
      </c>
      <c r="X35" s="153" t="n">
        <v>0.1804460985581789</v>
      </c>
      <c r="Y35" s="153" t="n">
        <v>0.2575697213281396</v>
      </c>
      <c r="Z35" s="153" t="n">
        <v>0.2575697213281396</v>
      </c>
      <c r="AA35" s="155" t="n">
        <v>0.1276594832935354</v>
      </c>
    </row>
    <row r="36" customFormat="1" s="140">
      <c r="A36" s="152" t="inlineStr">
        <is>
          <t>Food Processing</t>
        </is>
      </c>
      <c r="B36" s="76" t="n">
        <v>1657</v>
      </c>
      <c r="C36" s="153" t="n">
        <v>0.08466306632213629</v>
      </c>
      <c r="D36" s="153" t="n">
        <v>0.07661269588430095</v>
      </c>
      <c r="E36" s="153" t="n">
        <v>0.1145698080395725</v>
      </c>
      <c r="F36" s="153" t="n">
        <v>0.2327782300648896</v>
      </c>
      <c r="G36" s="154" t="n">
        <v>0.6126222784971279</v>
      </c>
      <c r="H36" s="154" t="n">
        <v>0.721118156482477</v>
      </c>
      <c r="I36" s="153" t="n">
        <v>0.08502367383052678</v>
      </c>
      <c r="J36" s="153" t="n">
        <v>0.2861312665366668</v>
      </c>
      <c r="K36" s="153" t="n">
        <v>0.064355</v>
      </c>
      <c r="L36" s="153" t="n">
        <v>0.2509743337185905</v>
      </c>
      <c r="M36" s="153" t="n">
        <v>0.07574681922505981</v>
      </c>
      <c r="N36" s="154" t="n">
        <v>1.75909800212123</v>
      </c>
      <c r="O36" s="154" t="n">
        <v>1.392006729461759</v>
      </c>
      <c r="P36" s="154" t="n">
        <v>12.15485339441831</v>
      </c>
      <c r="Q36" s="154" t="n">
        <v>17.80040245027544</v>
      </c>
      <c r="R36" s="154" t="n">
        <v>2.266540447238811</v>
      </c>
      <c r="S36" s="154" t="n">
        <v>46.46461456129909</v>
      </c>
      <c r="T36" s="153" t="n">
        <v>0.1052708169444198</v>
      </c>
      <c r="U36" s="153" t="n">
        <v>0.0461542625964197</v>
      </c>
      <c r="V36" s="153" t="n">
        <v>0.02540525481477706</v>
      </c>
      <c r="W36" s="153" t="n">
        <v>0.6195264160331899</v>
      </c>
      <c r="X36" s="153" t="n">
        <v>0.09915135116368702</v>
      </c>
      <c r="Y36" s="153" t="n">
        <v>0.6585422014379031</v>
      </c>
      <c r="Z36" s="153" t="n">
        <v>0.6585422014379031</v>
      </c>
      <c r="AA36" s="155" t="n">
        <v>0.07714085301963815</v>
      </c>
    </row>
    <row r="37" customFormat="1" s="140">
      <c r="A37" s="152" t="inlineStr">
        <is>
          <t>Food Wholesalers</t>
        </is>
      </c>
      <c r="B37" s="76" t="n">
        <v>173</v>
      </c>
      <c r="C37" s="153" t="n">
        <v>0.07762073770491802</v>
      </c>
      <c r="D37" s="153" t="n">
        <v>0.02470501276815291</v>
      </c>
      <c r="E37" s="153" t="n">
        <v>0.1068286907703693</v>
      </c>
      <c r="F37" s="153" t="n">
        <v>0.2452880606166185</v>
      </c>
      <c r="G37" s="154" t="n">
        <v>0.4962139269955836</v>
      </c>
      <c r="H37" s="154" t="n">
        <v>0.6691842811174069</v>
      </c>
      <c r="I37" s="153" t="n">
        <v>0.08169471241962578</v>
      </c>
      <c r="J37" s="153" t="n">
        <v>0.3082233050608905</v>
      </c>
      <c r="K37" s="153" t="n">
        <v>0.064355</v>
      </c>
      <c r="L37" s="153" t="n">
        <v>0.3657986184010767</v>
      </c>
      <c r="M37" s="153" t="n">
        <v>0.06939129594697531</v>
      </c>
      <c r="N37" s="154" t="n">
        <v>5.26600117303065</v>
      </c>
      <c r="O37" s="154" t="n">
        <v>0.3704094610527061</v>
      </c>
      <c r="P37" s="154" t="n">
        <v>9.705473761566203</v>
      </c>
      <c r="Q37" s="154" t="n">
        <v>14.90832881129223</v>
      </c>
      <c r="R37" s="154" t="n">
        <v>2.148424462767339</v>
      </c>
      <c r="S37" s="154" t="n">
        <v>49.78841663912469</v>
      </c>
      <c r="T37" s="153" t="n">
        <v>0.05873509038147783</v>
      </c>
      <c r="U37" s="153" t="n">
        <v>0.01419692154521084</v>
      </c>
      <c r="V37" s="153" t="n">
        <v>0.009039573725576101</v>
      </c>
      <c r="W37" s="153" t="n">
        <v>0.4847452831289777</v>
      </c>
      <c r="X37" s="153" t="n">
        <v>0.08914166793720855</v>
      </c>
      <c r="Y37" s="153" t="n">
        <v>0.5694556518243253</v>
      </c>
      <c r="Z37" s="153" t="n">
        <v>0.5694556518243253</v>
      </c>
      <c r="AA37" s="155" t="n">
        <v>0.02465066185553699</v>
      </c>
    </row>
    <row r="38" customFormat="1" s="140">
      <c r="A38" s="152" t="inlineStr">
        <is>
          <t>Furn/Home Furnishings</t>
        </is>
      </c>
      <c r="B38" s="76" t="n">
        <v>383</v>
      </c>
      <c r="C38" s="153" t="n">
        <v>0.05152820895522389</v>
      </c>
      <c r="D38" s="153" t="n">
        <v>0.07236821058761173</v>
      </c>
      <c r="E38" s="153" t="n">
        <v>0.1312850979288326</v>
      </c>
      <c r="F38" s="153" t="n">
        <v>0.1818802098246748</v>
      </c>
      <c r="G38" s="154" t="n">
        <v>0.9343214300886449</v>
      </c>
      <c r="H38" s="154" t="n">
        <v>0.9490949854867622</v>
      </c>
      <c r="I38" s="153" t="n">
        <v>0.09963698856970146</v>
      </c>
      <c r="J38" s="153" t="n">
        <v>0.2972402902069377</v>
      </c>
      <c r="K38" s="153" t="n">
        <v>0.064355</v>
      </c>
      <c r="L38" s="153" t="n">
        <v>0.2184261156040158</v>
      </c>
      <c r="M38" s="153" t="n">
        <v>0.08837129588766915</v>
      </c>
      <c r="N38" s="154" t="n">
        <v>2.088919277463389</v>
      </c>
      <c r="O38" s="154" t="n">
        <v>1.026390317140288</v>
      </c>
      <c r="P38" s="154" t="n">
        <v>9.742334396995357</v>
      </c>
      <c r="Q38" s="154" t="n">
        <v>13.62134667902732</v>
      </c>
      <c r="R38" s="154" t="n">
        <v>2.050031377308988</v>
      </c>
      <c r="S38" s="154" t="n">
        <v>37.84439245220923</v>
      </c>
      <c r="T38" s="153" t="n">
        <v>0.04911142247112463</v>
      </c>
      <c r="U38" s="153" t="n">
        <v>0.03588446704427892</v>
      </c>
      <c r="V38" s="153" t="n">
        <v>0.03095329705244206</v>
      </c>
      <c r="W38" s="153" t="n">
        <v>0.5344106441284635</v>
      </c>
      <c r="X38" s="153" t="n">
        <v>0.1120747918288159</v>
      </c>
      <c r="Y38" s="153" t="n">
        <v>0.7004804195891066</v>
      </c>
      <c r="Z38" s="153" t="n">
        <v>0.7004804195891066</v>
      </c>
      <c r="AA38" s="155" t="n">
        <v>0.07332634459333486</v>
      </c>
    </row>
    <row r="39" customFormat="1" s="140">
      <c r="A39" s="152" t="inlineStr">
        <is>
          <t>Green &amp; Renewable Energy</t>
        </is>
      </c>
      <c r="B39" s="76" t="n">
        <v>253</v>
      </c>
      <c r="C39" s="153" t="n">
        <v>0.1356263043478261</v>
      </c>
      <c r="D39" s="153" t="n">
        <v>0.2923549836232072</v>
      </c>
      <c r="E39" s="153" t="n">
        <v>0.07173408690830194</v>
      </c>
      <c r="F39" s="153" t="n">
        <v>0.1599691738747759</v>
      </c>
      <c r="G39" s="154" t="n">
        <v>0.6090620482792936</v>
      </c>
      <c r="H39" s="154" t="n">
        <v>0.8653850482473718</v>
      </c>
      <c r="I39" s="153" t="n">
        <v>0.09427118159265654</v>
      </c>
      <c r="J39" s="153" t="n">
        <v>0.3337365434374275</v>
      </c>
      <c r="K39" s="153" t="n">
        <v>0.064355</v>
      </c>
      <c r="L39" s="153" t="n">
        <v>0.3920441730386284</v>
      </c>
      <c r="M39" s="153" t="n">
        <v>0.07615448022189596</v>
      </c>
      <c r="N39" s="154" t="n">
        <v>0.2748775497385649</v>
      </c>
      <c r="O39" s="154" t="n">
        <v>7.400667405873427</v>
      </c>
      <c r="P39" s="154" t="n">
        <v>13.94521369318382</v>
      </c>
      <c r="Q39" s="154" t="n">
        <v>22.78669236974086</v>
      </c>
      <c r="R39" s="154" t="n">
        <v>2.011801393627809</v>
      </c>
      <c r="S39" s="154" t="n">
        <v>49.91219743572899</v>
      </c>
      <c r="T39" s="153" t="n">
        <v>0.09720434876570107</v>
      </c>
      <c r="U39" s="153" t="n">
        <v>0.4155888393759566</v>
      </c>
      <c r="V39" s="153" t="n">
        <v>0.3667548846886441</v>
      </c>
      <c r="W39" s="153" t="n">
        <v>1.521391151043177</v>
      </c>
      <c r="X39" s="153" t="n">
        <v>0.1075011470864867</v>
      </c>
      <c r="Y39" s="153" t="n">
        <v>0.663868143022513</v>
      </c>
      <c r="Z39" s="153" t="n">
        <v>0.663868143022513</v>
      </c>
      <c r="AA39" s="155" t="n">
        <v>0.2914634184100199</v>
      </c>
    </row>
    <row r="40" customFormat="1" s="140">
      <c r="A40" s="152" t="inlineStr">
        <is>
          <t>Healthcare Products</t>
        </is>
      </c>
      <c r="B40" s="76" t="n">
        <v>849</v>
      </c>
      <c r="C40" s="153" t="n">
        <v>0.1522707660455486</v>
      </c>
      <c r="D40" s="153" t="n">
        <v>0.1242965475532191</v>
      </c>
      <c r="E40" s="153" t="n">
        <v>0.1104398767093669</v>
      </c>
      <c r="F40" s="153" t="n">
        <v>0.2058631907584487</v>
      </c>
      <c r="G40" s="154" t="n">
        <v>1.043409711090341</v>
      </c>
      <c r="H40" s="154" t="n">
        <v>1.098082283316312</v>
      </c>
      <c r="I40" s="153" t="n">
        <v>0.1091870743605756</v>
      </c>
      <c r="J40" s="153" t="n">
        <v>0.4234296715169217</v>
      </c>
      <c r="K40" s="153" t="n">
        <v>0.064355</v>
      </c>
      <c r="L40" s="153" t="n">
        <v>0.1170245494517252</v>
      </c>
      <c r="M40" s="153" t="n">
        <v>0.1020337427699357</v>
      </c>
      <c r="N40" s="154" t="n">
        <v>0.9344382246720083</v>
      </c>
      <c r="O40" s="154" t="n">
        <v>4.412915204529993</v>
      </c>
      <c r="P40" s="154" t="n">
        <v>20.06604752207143</v>
      </c>
      <c r="Q40" s="154" t="n">
        <v>33.88513847414669</v>
      </c>
      <c r="R40" s="154" t="n">
        <v>3.577065328687603</v>
      </c>
      <c r="S40" s="154" t="n">
        <v>94.72577507667808</v>
      </c>
      <c r="T40" s="153" t="n">
        <v>0.2568771678494062</v>
      </c>
      <c r="U40" s="153" t="n">
        <v>0.05425840003523735</v>
      </c>
      <c r="V40" s="153" t="n">
        <v>0.03468357524389057</v>
      </c>
      <c r="W40" s="153" t="n">
        <v>0.6732921834616016</v>
      </c>
      <c r="X40" s="153" t="n">
        <v>0.07578216042011077</v>
      </c>
      <c r="Y40" s="153" t="n">
        <v>0.5070323335024592</v>
      </c>
      <c r="Z40" s="153" t="n">
        <v>0.5070323335024592</v>
      </c>
      <c r="AA40" s="155" t="n">
        <v>0.1286032425582757</v>
      </c>
    </row>
    <row r="41" customFormat="1" s="140">
      <c r="A41" s="152" t="inlineStr">
        <is>
          <t>Healthcare Support Services</t>
        </is>
      </c>
      <c r="B41" s="76" t="n">
        <v>463</v>
      </c>
      <c r="C41" s="153" t="n">
        <v>0.1262148689138577</v>
      </c>
      <c r="D41" s="153" t="n">
        <v>0.03949890391586042</v>
      </c>
      <c r="E41" s="153" t="n">
        <v>0.2893123958226776</v>
      </c>
      <c r="F41" s="153" t="n">
        <v>0.2306581371438852</v>
      </c>
      <c r="G41" s="154" t="n">
        <v>0.8212109879282181</v>
      </c>
      <c r="H41" s="154" t="n">
        <v>0.9102046390281963</v>
      </c>
      <c r="I41" s="153" t="n">
        <v>0.09714411736170739</v>
      </c>
      <c r="J41" s="153" t="n">
        <v>0.3780579367531489</v>
      </c>
      <c r="K41" s="153" t="n">
        <v>0.064355</v>
      </c>
      <c r="L41" s="153" t="n">
        <v>0.2300114299920196</v>
      </c>
      <c r="M41" s="153" t="n">
        <v>0.08585428156103396</v>
      </c>
      <c r="N41" s="154" t="n">
        <v>8.658982223369829</v>
      </c>
      <c r="O41" s="154" t="n">
        <v>0.6084030855050845</v>
      </c>
      <c r="P41" s="154" t="n">
        <v>11.05672759844142</v>
      </c>
      <c r="Q41" s="154" t="n">
        <v>15.22199103723887</v>
      </c>
      <c r="R41" s="154" t="n">
        <v>2.622280585036205</v>
      </c>
      <c r="S41" s="154" t="n">
        <v>57.50089542846316</v>
      </c>
      <c r="T41" s="153" t="n">
        <v>-0.02729586537091883</v>
      </c>
      <c r="U41" s="153" t="n">
        <v>0.008735011215680617</v>
      </c>
      <c r="V41" s="153" t="n">
        <v>0.01659514581775793</v>
      </c>
      <c r="W41" s="153" t="n">
        <v>0.574513905410946</v>
      </c>
      <c r="X41" s="153" t="n">
        <v>0.1215032001276361</v>
      </c>
      <c r="Y41" s="153" t="n">
        <v>0.3688222893654052</v>
      </c>
      <c r="Z41" s="153" t="n">
        <v>0.3688222893654052</v>
      </c>
      <c r="AA41" s="155" t="n">
        <v>0.03906588789448508</v>
      </c>
    </row>
    <row r="42" customFormat="1" s="140">
      <c r="A42" s="152" t="inlineStr">
        <is>
          <t>Heathcare Information and Technology</t>
        </is>
      </c>
      <c r="B42" s="76" t="n">
        <v>443</v>
      </c>
      <c r="C42" s="153" t="n">
        <v>0.1660804979253113</v>
      </c>
      <c r="D42" s="153" t="n">
        <v>0.1360342036177965</v>
      </c>
      <c r="E42" s="153" t="n">
        <v>0.1275559764199613</v>
      </c>
      <c r="F42" s="153" t="n">
        <v>0.1406302678057966</v>
      </c>
      <c r="G42" s="154" t="n">
        <v>1.170677025528021</v>
      </c>
      <c r="H42" s="154" t="n">
        <v>1.233617835779858</v>
      </c>
      <c r="I42" s="153" t="n">
        <v>0.1178749032734889</v>
      </c>
      <c r="J42" s="153" t="n">
        <v>0.4493294014324379</v>
      </c>
      <c r="K42" s="153" t="n">
        <v>0.064355</v>
      </c>
      <c r="L42" s="153" t="n">
        <v>0.1208870965711751</v>
      </c>
      <c r="M42" s="153" t="n">
        <v>0.1094352202779078</v>
      </c>
      <c r="N42" s="154" t="n">
        <v>0.9806808854111758</v>
      </c>
      <c r="O42" s="154" t="n">
        <v>5.245477310988298</v>
      </c>
      <c r="P42" s="154" t="n">
        <v>21.65755784469878</v>
      </c>
      <c r="Q42" s="154" t="n">
        <v>36.68273692947798</v>
      </c>
      <c r="R42" s="154" t="n">
        <v>3.937298830626731</v>
      </c>
      <c r="S42" s="154" t="n">
        <v>128.0726434666931</v>
      </c>
      <c r="T42" s="153" t="n">
        <v>0.2389800084815025</v>
      </c>
      <c r="U42" s="153" t="n">
        <v>0.07151953974823035</v>
      </c>
      <c r="V42" s="153" t="n">
        <v>0.06135000646949925</v>
      </c>
      <c r="W42" s="153" t="n">
        <v>0.7159047776805149</v>
      </c>
      <c r="X42" s="153" t="n">
        <v>0.06025565979669429</v>
      </c>
      <c r="Y42" s="153" t="n">
        <v>0.2442734203141255</v>
      </c>
      <c r="Z42" s="153" t="n">
        <v>0.2442734203141255</v>
      </c>
      <c r="AA42" s="155" t="n">
        <v>0.1384272153123704</v>
      </c>
    </row>
    <row r="43" customFormat="1" s="140">
      <c r="A43" s="152" t="inlineStr">
        <is>
          <t>Homebuilding</t>
        </is>
      </c>
      <c r="B43" s="76" t="n">
        <v>173</v>
      </c>
      <c r="C43" s="153" t="n">
        <v>0.07834188811188812</v>
      </c>
      <c r="D43" s="153" t="n">
        <v>0.132841717030939</v>
      </c>
      <c r="E43" s="153" t="n">
        <v>0.1441592242718588</v>
      </c>
      <c r="F43" s="153" t="n">
        <v>0.2428459624359894</v>
      </c>
      <c r="G43" s="154" t="n">
        <v>1.011388228139823</v>
      </c>
      <c r="H43" s="154" t="n">
        <v>1.094707449030331</v>
      </c>
      <c r="I43" s="153" t="n">
        <v>0.1089707474828442</v>
      </c>
      <c r="J43" s="153" t="n">
        <v>0.2896512515831869</v>
      </c>
      <c r="K43" s="153" t="n">
        <v>0.064355</v>
      </c>
      <c r="L43" s="153" t="n">
        <v>0.2310829232799077</v>
      </c>
      <c r="M43" s="153" t="n">
        <v>0.09489538645538222</v>
      </c>
      <c r="N43" s="154" t="n">
        <v>1.389501594699418</v>
      </c>
      <c r="O43" s="154" t="n">
        <v>1.183683584475072</v>
      </c>
      <c r="P43" s="154" t="n">
        <v>8.02944931196801</v>
      </c>
      <c r="Q43" s="154" t="n">
        <v>9.165171354093479</v>
      </c>
      <c r="R43" s="154" t="n">
        <v>1.578815264448534</v>
      </c>
      <c r="S43" s="154" t="n">
        <v>20.55071204788833</v>
      </c>
      <c r="T43" s="153" t="n">
        <v>0.6093441380975982</v>
      </c>
      <c r="U43" s="153" t="n">
        <v>0.006943514595374572</v>
      </c>
      <c r="V43" s="153" t="n">
        <v>0.005146380776774285</v>
      </c>
      <c r="W43" s="153" t="n">
        <v>0.2028709193735046</v>
      </c>
      <c r="X43" s="153" t="n">
        <v>0.1661000379974851</v>
      </c>
      <c r="Y43" s="153" t="n">
        <v>0.1813871282009737</v>
      </c>
      <c r="Z43" s="153" t="n">
        <v>0.1813871282009737</v>
      </c>
      <c r="AA43" s="155" t="n">
        <v>0.1278956944393478</v>
      </c>
    </row>
    <row r="44" customFormat="1" s="140">
      <c r="A44" s="152" t="inlineStr">
        <is>
          <t>Hospitals/Healthcare Facilities</t>
        </is>
      </c>
      <c r="B44" s="76" t="n">
        <v>232</v>
      </c>
      <c r="C44" s="153" t="n">
        <v>0.1102230263157894</v>
      </c>
      <c r="D44" s="153" t="n">
        <v>0.1085649671737164</v>
      </c>
      <c r="E44" s="153" t="n">
        <v>0.1232347643745309</v>
      </c>
      <c r="F44" s="153" t="n">
        <v>0.2008946591472626</v>
      </c>
      <c r="G44" s="154" t="n">
        <v>0.5802219144187124</v>
      </c>
      <c r="H44" s="154" t="n">
        <v>0.7649492144306513</v>
      </c>
      <c r="I44" s="153" t="n">
        <v>0.08783324464500475</v>
      </c>
      <c r="J44" s="153" t="n">
        <v>0.2952943117870856</v>
      </c>
      <c r="K44" s="153" t="n">
        <v>0.064355</v>
      </c>
      <c r="L44" s="153" t="n">
        <v>0.3220849172106311</v>
      </c>
      <c r="M44" s="153" t="n">
        <v>0.07502298357098422</v>
      </c>
      <c r="N44" s="154" t="n">
        <v>1.381657890309308</v>
      </c>
      <c r="O44" s="154" t="n">
        <v>2.31008252413981</v>
      </c>
      <c r="P44" s="154" t="n">
        <v>12.43742281693014</v>
      </c>
      <c r="Q44" s="154" t="n">
        <v>20.57667430432979</v>
      </c>
      <c r="R44" s="154" t="n">
        <v>4.077228390304167</v>
      </c>
      <c r="S44" s="154" t="n">
        <v>41.97948073189124</v>
      </c>
      <c r="T44" s="153" t="n">
        <v>0.0696388585347049</v>
      </c>
      <c r="U44" s="153" t="n">
        <v>0.07173862767890807</v>
      </c>
      <c r="V44" s="153" t="n">
        <v>0.02449222193941867</v>
      </c>
      <c r="W44" s="153" t="n">
        <v>0.4077498161537454</v>
      </c>
      <c r="X44" s="153" t="n">
        <v>0.1194972327229354</v>
      </c>
      <c r="Y44" s="153" t="n">
        <v>0.4589411823611896</v>
      </c>
      <c r="Z44" s="153" t="n">
        <v>0.4589411823611896</v>
      </c>
      <c r="AA44" s="155" t="n">
        <v>0.107682746757144</v>
      </c>
    </row>
    <row r="45" customFormat="1" s="140">
      <c r="A45" s="152" t="inlineStr">
        <is>
          <t>Hotel/Gaming</t>
        </is>
      </c>
      <c r="B45" s="76" t="n">
        <v>650</v>
      </c>
      <c r="C45" s="153" t="n">
        <v>0.03479338114754098</v>
      </c>
      <c r="D45" s="153" t="n">
        <v>0.1401879193441881</v>
      </c>
      <c r="E45" s="153" t="n">
        <v>0.08265390639495232</v>
      </c>
      <c r="F45" s="153" t="n">
        <v>0.2056332833382506</v>
      </c>
      <c r="G45" s="154" t="n">
        <v>0.7853696261046101</v>
      </c>
      <c r="H45" s="154" t="n">
        <v>0.9791274828677098</v>
      </c>
      <c r="I45" s="153" t="n">
        <v>0.1015620716518202</v>
      </c>
      <c r="J45" s="153" t="n">
        <v>0.3383287696099964</v>
      </c>
      <c r="K45" s="153" t="n">
        <v>0.064355</v>
      </c>
      <c r="L45" s="153" t="n">
        <v>0.3164214463464312</v>
      </c>
      <c r="M45" s="153" t="n">
        <v>0.084632968113555</v>
      </c>
      <c r="N45" s="154" t="n">
        <v>0.7580094309218133</v>
      </c>
      <c r="O45" s="154" t="n">
        <v>3.563706751527194</v>
      </c>
      <c r="P45" s="154" t="n">
        <v>15.08938123547853</v>
      </c>
      <c r="Q45" s="154" t="n">
        <v>28.37207756106551</v>
      </c>
      <c r="R45" s="154" t="n">
        <v>3.961582707166079</v>
      </c>
      <c r="S45" s="154" t="n">
        <v>60.18532917653335</v>
      </c>
      <c r="T45" s="153" t="n">
        <v>-0.01978075305102925</v>
      </c>
      <c r="U45" s="153" t="n">
        <v>0.0630559720259098</v>
      </c>
      <c r="V45" s="153" t="n">
        <v>0.008460904068733224</v>
      </c>
      <c r="W45" s="153" t="n">
        <v>0.1601647809552421</v>
      </c>
      <c r="X45" s="153" t="n">
        <v>0.109091966586322</v>
      </c>
      <c r="Y45" s="153" t="n">
        <v>0.2713692983669488</v>
      </c>
      <c r="Z45" s="153" t="n">
        <v>0.2713692983669489</v>
      </c>
      <c r="AA45" s="155" t="n">
        <v>0.1234073367152226</v>
      </c>
    </row>
    <row r="46" customFormat="1" s="140">
      <c r="A46" s="152" t="inlineStr">
        <is>
          <t>Household Products</t>
        </is>
      </c>
      <c r="B46" s="76" t="n">
        <v>178</v>
      </c>
      <c r="C46" s="153" t="n">
        <v>0.03954864661654135</v>
      </c>
      <c r="D46" s="153" t="n">
        <v>0.1655984714987112</v>
      </c>
      <c r="E46" s="153" t="n">
        <v>0.2524313269326732</v>
      </c>
      <c r="F46" s="153" t="n">
        <v>0.222325854364532</v>
      </c>
      <c r="G46" s="154" t="n">
        <v>0.6752046425281285</v>
      </c>
      <c r="H46" s="154" t="n">
        <v>0.7274713770295027</v>
      </c>
      <c r="I46" s="153" t="n">
        <v>0.08543091526759113</v>
      </c>
      <c r="J46" s="153" t="n">
        <v>0.2978129607326115</v>
      </c>
      <c r="K46" s="153" t="n">
        <v>0.064355</v>
      </c>
      <c r="L46" s="153" t="n">
        <v>0.1333377164157758</v>
      </c>
      <c r="M46" s="153" t="n">
        <v>0.08044800463348603</v>
      </c>
      <c r="N46" s="154" t="n">
        <v>1.778318036477696</v>
      </c>
      <c r="O46" s="154" t="n">
        <v>3.101798360908865</v>
      </c>
      <c r="P46" s="154" t="n">
        <v>15.10885857806158</v>
      </c>
      <c r="Q46" s="154" t="n">
        <v>18.46041337669947</v>
      </c>
      <c r="R46" s="154" t="n">
        <v>6.04199454715503</v>
      </c>
      <c r="S46" s="154" t="n">
        <v>53.66886871203858</v>
      </c>
      <c r="T46" s="153" t="n">
        <v>0.05323579396923756</v>
      </c>
      <c r="U46" s="153" t="n">
        <v>0.03574225165417418</v>
      </c>
      <c r="V46" s="153" t="n">
        <v>0.01323866689687834</v>
      </c>
      <c r="W46" s="153" t="n">
        <v>0.07055305351361157</v>
      </c>
      <c r="X46" s="153" t="n">
        <v>0.2680093921326256</v>
      </c>
      <c r="Y46" s="153" t="n">
        <v>0.6568910084434325</v>
      </c>
      <c r="Z46" s="153" t="n">
        <v>0.6568910084434325</v>
      </c>
      <c r="AA46" s="155" t="n">
        <v>0.1666065499257922</v>
      </c>
    </row>
    <row r="47" customFormat="1" s="140">
      <c r="A47" s="152" t="inlineStr">
        <is>
          <t>Information Services</t>
        </is>
      </c>
      <c r="B47" s="76" t="n">
        <v>81</v>
      </c>
      <c r="C47" s="153" t="n">
        <v>0.02068361702127659</v>
      </c>
      <c r="D47" s="153" t="n">
        <v>0.1092779351435308</v>
      </c>
      <c r="E47" s="153" t="n">
        <v>0.2187503321074405</v>
      </c>
      <c r="F47" s="153" t="n">
        <v>0.2572221588669615</v>
      </c>
      <c r="G47" s="154" t="n">
        <v>1.022861955690452</v>
      </c>
      <c r="H47" s="154" t="n">
        <v>1.210329895898512</v>
      </c>
      <c r="I47" s="153" t="n">
        <v>0.1163821463270946</v>
      </c>
      <c r="J47" s="153" t="n">
        <v>0.3363195322094792</v>
      </c>
      <c r="K47" s="153" t="n">
        <v>0.064355</v>
      </c>
      <c r="L47" s="153" t="n">
        <v>0.257194807809387</v>
      </c>
      <c r="M47" s="153" t="n">
        <v>0.09881012579254235</v>
      </c>
      <c r="N47" s="154" t="n">
        <v>2.300385843439628</v>
      </c>
      <c r="O47" s="154" t="n">
        <v>1.934520380103939</v>
      </c>
      <c r="P47" s="154" t="n">
        <v>11.38060048642396</v>
      </c>
      <c r="Q47" s="154" t="n">
        <v>16.9698411934083</v>
      </c>
      <c r="R47" s="154" t="n">
        <v>3.374999052883659</v>
      </c>
      <c r="S47" s="154" t="n">
        <v>143.5047268518134</v>
      </c>
      <c r="T47" s="153" t="n">
        <v>0.1431742078232665</v>
      </c>
      <c r="U47" s="153" t="n">
        <v>0.01973490042030984</v>
      </c>
      <c r="V47" s="153" t="n">
        <v>-0.01394735143235874</v>
      </c>
      <c r="W47" s="153" t="n">
        <v>0.001496212984057413</v>
      </c>
      <c r="X47" s="153" t="n">
        <v>0.08982080004282599</v>
      </c>
      <c r="Y47" s="153" t="n">
        <v>0.5528405809168633</v>
      </c>
      <c r="Z47" s="153" t="n">
        <v>0.5528405809168633</v>
      </c>
      <c r="AA47" s="155" t="n">
        <v>0.1138079272677219</v>
      </c>
    </row>
    <row r="48" customFormat="1" s="140">
      <c r="A48" s="152" t="inlineStr">
        <is>
          <t>Insurance (General)</t>
        </is>
      </c>
      <c r="B48" s="76" t="n">
        <v>202</v>
      </c>
      <c r="C48" s="153" t="n">
        <v>0.08460260355029586</v>
      </c>
      <c r="D48" s="153" t="n">
        <v>0.1182907886454553</v>
      </c>
      <c r="E48" s="153" t="n">
        <v>0.1815670557202762</v>
      </c>
      <c r="F48" s="153" t="n">
        <v>0.2099018785754637</v>
      </c>
      <c r="G48" s="154" t="n">
        <v>0.629394290783981</v>
      </c>
      <c r="H48" s="154" t="n">
        <v>0.6850762226636025</v>
      </c>
      <c r="I48" s="153" t="n">
        <v>0.08271338587273692</v>
      </c>
      <c r="J48" s="153" t="n">
        <v>0.2478689232245281</v>
      </c>
      <c r="K48" s="153" t="n">
        <v>0.058543</v>
      </c>
      <c r="L48" s="153" t="n">
        <v>0.2600645108966295</v>
      </c>
      <c r="M48" s="153" t="n">
        <v>0.0725725672658889</v>
      </c>
      <c r="N48" s="154" t="n">
        <v>1.80911011842331</v>
      </c>
      <c r="O48" s="154" t="n">
        <v>1.169134129847309</v>
      </c>
      <c r="P48" s="154" t="n">
        <v>8.142154303147011</v>
      </c>
      <c r="Q48" s="154" t="n">
        <v>8.598038176376042</v>
      </c>
      <c r="R48" s="154" t="n">
        <v>1.782428411759567</v>
      </c>
      <c r="S48" s="154" t="n">
        <v>22.77264393872936</v>
      </c>
      <c r="T48" s="153" t="n">
        <v>-0.01590986829130995</v>
      </c>
      <c r="U48" s="153" t="n">
        <v>0.007598358394439501</v>
      </c>
      <c r="V48" s="153" t="n">
        <v>0.004228833772045735</v>
      </c>
      <c r="W48" s="153" t="n">
        <v>0.02016860823021116</v>
      </c>
      <c r="X48" s="153" t="n">
        <v>0.1520398385367542</v>
      </c>
      <c r="Y48" s="153" t="n">
        <v>0.4245453994262916</v>
      </c>
      <c r="Z48" s="153" t="n">
        <v>0.4245453994262915</v>
      </c>
      <c r="AA48" s="155" t="n">
        <v>0.1184053018887523</v>
      </c>
    </row>
    <row r="49" customFormat="1" s="140">
      <c r="A49" s="152" t="inlineStr">
        <is>
          <t>Insurance (Life)</t>
        </is>
      </c>
      <c r="B49" s="76" t="n">
        <v>137</v>
      </c>
      <c r="C49" s="153" t="n">
        <v>0.08265757009345794</v>
      </c>
      <c r="D49" s="153" t="n">
        <v>0.1081994611376227</v>
      </c>
      <c r="E49" s="153" t="n">
        <v>0.0964165801203731</v>
      </c>
      <c r="F49" s="153" t="n">
        <v>0.1430098540208481</v>
      </c>
      <c r="G49" s="154" t="n">
        <v>0.7749958133235606</v>
      </c>
      <c r="H49" s="154" t="n">
        <v>0.886623183454928</v>
      </c>
      <c r="I49" s="153" t="n">
        <v>0.09563254605946089</v>
      </c>
      <c r="J49" s="153" t="n">
        <v>0.2529088497524813</v>
      </c>
      <c r="K49" s="153" t="n">
        <v>0.064355</v>
      </c>
      <c r="L49" s="153" t="n">
        <v>0.5093217544162884</v>
      </c>
      <c r="M49" s="153" t="n">
        <v>0.07140297336543747</v>
      </c>
      <c r="N49" s="154" t="n">
        <v>1.030913846509228</v>
      </c>
      <c r="O49" s="154" t="n">
        <v>1.062582877725027</v>
      </c>
      <c r="P49" s="154" t="n">
        <v>7.215679263423443</v>
      </c>
      <c r="Q49" s="154" t="n">
        <v>8.805890086056614</v>
      </c>
      <c r="R49" s="154" t="n">
        <v>1.12487229948285</v>
      </c>
      <c r="S49" s="154" t="n">
        <v>45.46642003583749</v>
      </c>
      <c r="T49" s="153" t="n">
        <v>-0.9618918273783859</v>
      </c>
      <c r="U49" s="153" t="n">
        <v>0.006879342537715871</v>
      </c>
      <c r="V49" s="153" t="n">
        <v>0.004798682264904494</v>
      </c>
      <c r="W49" s="153" t="n">
        <v>-0.07883068102302147</v>
      </c>
      <c r="X49" s="153" t="n">
        <v>0.07415972895423796</v>
      </c>
      <c r="Y49" s="153" t="n">
        <v>0.6190700745883686</v>
      </c>
      <c r="Z49" s="153" t="n">
        <v>0.6190700745883686</v>
      </c>
      <c r="AA49" s="155" t="n">
        <v>0.1083280216562487</v>
      </c>
    </row>
    <row r="50" customFormat="1" s="140">
      <c r="A50" s="152" t="inlineStr">
        <is>
          <t>Insurance (Prop/Cas.)</t>
        </is>
      </c>
      <c r="B50" s="76" t="n">
        <v>228</v>
      </c>
      <c r="C50" s="153" t="n">
        <v>0.09064165803108808</v>
      </c>
      <c r="D50" s="153" t="n">
        <v>0.09758146600419187</v>
      </c>
      <c r="E50" s="153" t="n">
        <v>0.1331121282848552</v>
      </c>
      <c r="F50" s="153" t="n">
        <v>0.1870229803948328</v>
      </c>
      <c r="G50" s="154" t="n">
        <v>0.6647689482362986</v>
      </c>
      <c r="H50" s="154" t="n">
        <v>0.7108225066540639</v>
      </c>
      <c r="I50" s="153" t="n">
        <v>0.0843637226765255</v>
      </c>
      <c r="J50" s="153" t="n">
        <v>0.2674377675554215</v>
      </c>
      <c r="K50" s="153" t="n">
        <v>0.064355</v>
      </c>
      <c r="L50" s="153" t="n">
        <v>0.1824906756249846</v>
      </c>
      <c r="M50" s="153" t="n">
        <v>0.07773868909965644</v>
      </c>
      <c r="N50" s="154" t="n">
        <v>1.649113132391113</v>
      </c>
      <c r="O50" s="154" t="n">
        <v>1.129748619693508</v>
      </c>
      <c r="P50" s="154" t="n">
        <v>9.24722869193527</v>
      </c>
      <c r="Q50" s="154" t="n">
        <v>10.81764928503054</v>
      </c>
      <c r="R50" s="154" t="n">
        <v>1.589948863902925</v>
      </c>
      <c r="S50" s="154" t="n">
        <v>19.55293818721364</v>
      </c>
      <c r="T50" s="153" t="n">
        <v>-0.2847602982713821</v>
      </c>
      <c r="U50" s="153" t="n">
        <v>0.006965993910183885</v>
      </c>
      <c r="V50" s="153" t="n">
        <v>-0.003131181087510263</v>
      </c>
      <c r="W50" s="153" t="n">
        <v>0.1901790615584793</v>
      </c>
      <c r="X50" s="153" t="n">
        <v>0.1231229351583873</v>
      </c>
      <c r="Y50" s="153" t="n">
        <v>0.3176730261653639</v>
      </c>
      <c r="Z50" s="153" t="n">
        <v>0.317673026165364</v>
      </c>
      <c r="AA50" s="155" t="n">
        <v>0.09792192081104668</v>
      </c>
    </row>
    <row r="51" customFormat="1" s="140">
      <c r="A51" s="152" t="inlineStr">
        <is>
          <t>Investments &amp; Asset Management</t>
        </is>
      </c>
      <c r="B51" s="76" t="n">
        <v>1374</v>
      </c>
      <c r="C51" s="153" t="n">
        <v>0.1147342226487524</v>
      </c>
      <c r="D51" s="153" t="n">
        <v>0.1762200522447241</v>
      </c>
      <c r="E51" s="153" t="n">
        <v>0.0557702371123666</v>
      </c>
      <c r="F51" s="153" t="n">
        <v>0.172959846193638</v>
      </c>
      <c r="G51" s="154" t="n">
        <v>0.5397928644612399</v>
      </c>
      <c r="H51" s="154" t="n">
        <v>0.7538219195489253</v>
      </c>
      <c r="I51" s="153" t="n">
        <v>0.08711998504308612</v>
      </c>
      <c r="J51" s="153" t="n">
        <v>0.2952473128244413</v>
      </c>
      <c r="K51" s="153" t="n">
        <v>0.064355</v>
      </c>
      <c r="L51" s="153" t="n">
        <v>0.424246094921166</v>
      </c>
      <c r="M51" s="153" t="n">
        <v>0.07054907213415149</v>
      </c>
      <c r="N51" s="154" t="n">
        <v>0.348662730778207</v>
      </c>
      <c r="O51" s="154" t="n">
        <v>4.655215766873882</v>
      </c>
      <c r="P51" s="154" t="n">
        <v>16.80944133555134</v>
      </c>
      <c r="Q51" s="154" t="n">
        <v>20.17057862539527</v>
      </c>
      <c r="R51" s="154" t="n">
        <v>1.381451099052294</v>
      </c>
      <c r="S51" s="154" t="n">
        <v>56.35007269514769</v>
      </c>
      <c r="T51" s="153" t="inlineStr">
        <is>
          <t>NA</t>
        </is>
      </c>
      <c r="U51" s="153" t="n">
        <v>0.03600827575408963</v>
      </c>
      <c r="V51" s="153" t="n">
        <v>0.07678811784148608</v>
      </c>
      <c r="W51" s="153" t="n">
        <v>0.5242060967646034</v>
      </c>
      <c r="X51" s="153" t="n">
        <v>0.1044844699259437</v>
      </c>
      <c r="Y51" s="153" t="n">
        <v>0.5604759651615948</v>
      </c>
      <c r="Z51" s="153" t="n">
        <v>0.5604759651615948</v>
      </c>
      <c r="AA51" s="155" t="n">
        <v>0.1750460445738983</v>
      </c>
    </row>
    <row r="52" customFormat="1" s="140">
      <c r="A52" s="152" t="inlineStr">
        <is>
          <t>Machinery</t>
        </is>
      </c>
      <c r="B52" s="76" t="n">
        <v>1492</v>
      </c>
      <c r="C52" s="153" t="n">
        <v>0.06073680695333949</v>
      </c>
      <c r="D52" s="153" t="n">
        <v>0.09918809180769975</v>
      </c>
      <c r="E52" s="153" t="n">
        <v>0.127149819727627</v>
      </c>
      <c r="F52" s="153" t="n">
        <v>0.213015654809091</v>
      </c>
      <c r="G52" s="154" t="n">
        <v>1.03836102698098</v>
      </c>
      <c r="H52" s="154" t="n">
        <v>1.070708853432508</v>
      </c>
      <c r="I52" s="153" t="n">
        <v>0.1074324375050238</v>
      </c>
      <c r="J52" s="153" t="n">
        <v>0.2975651969773884</v>
      </c>
      <c r="K52" s="153" t="n">
        <v>0.064355</v>
      </c>
      <c r="L52" s="153" t="n">
        <v>0.1330768416769059</v>
      </c>
      <c r="M52" s="153" t="n">
        <v>0.09953138282532399</v>
      </c>
      <c r="N52" s="154" t="n">
        <v>1.475844491387331</v>
      </c>
      <c r="O52" s="154" t="n">
        <v>2.152051180477197</v>
      </c>
      <c r="P52" s="154" t="n">
        <v>14.74009147266254</v>
      </c>
      <c r="Q52" s="154" t="n">
        <v>20.50788813757825</v>
      </c>
      <c r="R52" s="154" t="n">
        <v>2.931897166989267</v>
      </c>
      <c r="S52" s="154" t="n">
        <v>59.82145516111429</v>
      </c>
      <c r="T52" s="153" t="n">
        <v>0.283204746618663</v>
      </c>
      <c r="U52" s="153" t="n">
        <v>0.04185950446001566</v>
      </c>
      <c r="V52" s="153" t="n">
        <v>0.04235351210658843</v>
      </c>
      <c r="W52" s="153" t="n">
        <v>0.9159125105760683</v>
      </c>
      <c r="X52" s="153" t="n">
        <v>0.1199730076736031</v>
      </c>
      <c r="Y52" s="153" t="n">
        <v>0.4145028086481313</v>
      </c>
      <c r="Z52" s="153" t="n">
        <v>0.4145028086481313</v>
      </c>
      <c r="AA52" s="155" t="n">
        <v>0.1008176714330376</v>
      </c>
    </row>
    <row r="53" customFormat="1" s="140">
      <c r="A53" s="152" t="inlineStr">
        <is>
          <t>Metals &amp; Mining</t>
        </is>
      </c>
      <c r="B53" s="76" t="n">
        <v>1815</v>
      </c>
      <c r="C53" s="153" t="n">
        <v>0.1980477777777775</v>
      </c>
      <c r="D53" s="153" t="n">
        <v>0.1066486206425039</v>
      </c>
      <c r="E53" s="153" t="n">
        <v>0.1483656893256986</v>
      </c>
      <c r="F53" s="153" t="n">
        <v>0.3083537659419265</v>
      </c>
      <c r="G53" s="154" t="n">
        <v>0.9888283828600354</v>
      </c>
      <c r="H53" s="154" t="n">
        <v>1.090733975558999</v>
      </c>
      <c r="I53" s="153" t="n">
        <v>0.1087160478333318</v>
      </c>
      <c r="J53" s="153" t="n">
        <v>0.5751337390211977</v>
      </c>
      <c r="K53" s="153" t="n">
        <v>0.067024</v>
      </c>
      <c r="L53" s="153" t="n">
        <v>0.2173003618096793</v>
      </c>
      <c r="M53" s="153" t="n">
        <v>0.0959686600058396</v>
      </c>
      <c r="N53" s="154" t="n">
        <v>1.440396134465824</v>
      </c>
      <c r="O53" s="154" t="n">
        <v>1.321840943539153</v>
      </c>
      <c r="P53" s="154" t="n">
        <v>7.816887061757303</v>
      </c>
      <c r="Q53" s="154" t="n">
        <v>11.71920886154554</v>
      </c>
      <c r="R53" s="154" t="n">
        <v>1.838315445263778</v>
      </c>
      <c r="S53" s="154" t="n">
        <v>54.20429746833906</v>
      </c>
      <c r="T53" s="153" t="n">
        <v>0.1197633284637527</v>
      </c>
      <c r="U53" s="153" t="n">
        <v>0.08001763962680733</v>
      </c>
      <c r="V53" s="153" t="n">
        <v>0.04895130024402663</v>
      </c>
      <c r="W53" s="153" t="n">
        <v>0.8486181060050298</v>
      </c>
      <c r="X53" s="153" t="n">
        <v>0.1049891252160354</v>
      </c>
      <c r="Y53" s="153" t="n">
        <v>0.8595026219720454</v>
      </c>
      <c r="Z53" s="153" t="n">
        <v>0.8595026219720454</v>
      </c>
      <c r="AA53" s="155" t="n">
        <v>0.1071726364822853</v>
      </c>
    </row>
    <row r="54" customFormat="1" s="140">
      <c r="A54" s="152" t="inlineStr">
        <is>
          <t>Office Equipment &amp; Services</t>
        </is>
      </c>
      <c r="B54" s="76" t="n">
        <v>137</v>
      </c>
      <c r="C54" s="153" t="n">
        <v>0.07100702970297026</v>
      </c>
      <c r="D54" s="153" t="n">
        <v>0.07096157993626395</v>
      </c>
      <c r="E54" s="153" t="n">
        <v>0.1121263911212863</v>
      </c>
      <c r="F54" s="153" t="n">
        <v>0.2667674954461756</v>
      </c>
      <c r="G54" s="154" t="n">
        <v>0.7755481534276755</v>
      </c>
      <c r="H54" s="154" t="n">
        <v>0.8288759065679251</v>
      </c>
      <c r="I54" s="153" t="n">
        <v>0.09193094561100401</v>
      </c>
      <c r="J54" s="153" t="n">
        <v>0.2790876657137058</v>
      </c>
      <c r="K54" s="153" t="n">
        <v>0.064355</v>
      </c>
      <c r="L54" s="153" t="n">
        <v>0.2225668368674495</v>
      </c>
      <c r="M54" s="153" t="n">
        <v>0.0821667979019657</v>
      </c>
      <c r="N54" s="154" t="n">
        <v>1.948692079201481</v>
      </c>
      <c r="O54" s="154" t="n">
        <v>1.064305446671569</v>
      </c>
      <c r="P54" s="154" t="n">
        <v>9.43316440474951</v>
      </c>
      <c r="Q54" s="154" t="n">
        <v>14.40823430433936</v>
      </c>
      <c r="R54" s="154" t="n">
        <v>1.840862116869956</v>
      </c>
      <c r="S54" s="154" t="n">
        <v>148.7065143627513</v>
      </c>
      <c r="T54" s="153" t="n">
        <v>0.1332272259294005</v>
      </c>
      <c r="U54" s="153" t="n">
        <v>0.02467717700625325</v>
      </c>
      <c r="V54" s="153" t="n">
        <v>0.01610612551919595</v>
      </c>
      <c r="W54" s="153" t="n">
        <v>0.304377404512499</v>
      </c>
      <c r="X54" s="153" t="n">
        <v>0.08262946816534689</v>
      </c>
      <c r="Y54" s="153" t="n">
        <v>0.5240183295713126</v>
      </c>
      <c r="Z54" s="153" t="n">
        <v>0.5240183295713126</v>
      </c>
      <c r="AA54" s="155" t="n">
        <v>0.07149752628658013</v>
      </c>
    </row>
    <row r="55" customFormat="1" s="140">
      <c r="A55" s="152" t="inlineStr">
        <is>
          <t>Oil/Gas (Integrated)</t>
        </is>
      </c>
      <c r="B55" s="76" t="n">
        <v>36</v>
      </c>
      <c r="C55" s="153" t="n">
        <v>0.1737484848484848</v>
      </c>
      <c r="D55" s="153" t="n">
        <v>0.1833045045507788</v>
      </c>
      <c r="E55" s="153" t="n">
        <v>0.2195564700721332</v>
      </c>
      <c r="F55" s="153" t="n">
        <v>0.4114650450181546</v>
      </c>
      <c r="G55" s="154" t="n">
        <v>0.9378980391506078</v>
      </c>
      <c r="H55" s="154" t="n">
        <v>0.9908295261548429</v>
      </c>
      <c r="I55" s="153" t="n">
        <v>0.1023121726265254</v>
      </c>
      <c r="J55" s="153" t="n">
        <v>0.2683526900988865</v>
      </c>
      <c r="K55" s="153" t="n">
        <v>0.064355</v>
      </c>
      <c r="L55" s="153" t="n">
        <v>0.1487666678846342</v>
      </c>
      <c r="M55" s="153" t="n">
        <v>0.09424130439210901</v>
      </c>
      <c r="N55" s="154" t="n">
        <v>1.657744024033531</v>
      </c>
      <c r="O55" s="154" t="n">
        <v>1.269907920443436</v>
      </c>
      <c r="P55" s="154" t="n">
        <v>5.329375681172027</v>
      </c>
      <c r="Q55" s="154" t="n">
        <v>6.910376636063509</v>
      </c>
      <c r="R55" s="154" t="n">
        <v>1.995998993876315</v>
      </c>
      <c r="S55" s="154" t="n">
        <v>14.03182681845412</v>
      </c>
      <c r="T55" s="153" t="n">
        <v>0.03254908757082722</v>
      </c>
      <c r="U55" s="153" t="n">
        <v>0.07551581451441237</v>
      </c>
      <c r="V55" s="153" t="n">
        <v>0.01788286322132778</v>
      </c>
      <c r="W55" s="153" t="n">
        <v>0.1470972992362721</v>
      </c>
      <c r="X55" s="153" t="n">
        <v>0.2111799007567265</v>
      </c>
      <c r="Y55" s="153" t="n">
        <v>0.4893858919102488</v>
      </c>
      <c r="Z55" s="153" t="n">
        <v>0.4893858919102487</v>
      </c>
      <c r="AA55" s="155" t="n">
        <v>0.1839515110561073</v>
      </c>
    </row>
    <row r="56" customFormat="1" s="140">
      <c r="A56" s="152" t="inlineStr">
        <is>
          <t>Oil/Gas (Production and Exploration)</t>
        </is>
      </c>
      <c r="B56" s="76" t="n">
        <v>590</v>
      </c>
      <c r="C56" s="153" t="n">
        <v>0.2666915522388061</v>
      </c>
      <c r="D56" s="153" t="n">
        <v>0.3635981139178642</v>
      </c>
      <c r="E56" s="153" t="n">
        <v>0.2415826768763482</v>
      </c>
      <c r="F56" s="153" t="n">
        <v>0.3126073120713543</v>
      </c>
      <c r="G56" s="154" t="n">
        <v>0.9640028763637845</v>
      </c>
      <c r="H56" s="154" t="n">
        <v>1.088855941735434</v>
      </c>
      <c r="I56" s="153" t="n">
        <v>0.1085956658652413</v>
      </c>
      <c r="J56" s="153" t="n">
        <v>0.483877669804578</v>
      </c>
      <c r="K56" s="153" t="n">
        <v>0.064355</v>
      </c>
      <c r="L56" s="153" t="n">
        <v>0.2136746857641355</v>
      </c>
      <c r="M56" s="153" t="n">
        <v>0.09566079357781451</v>
      </c>
      <c r="N56" s="154" t="n">
        <v>0.7217778775968877</v>
      </c>
      <c r="O56" s="154" t="n">
        <v>2.381052734287632</v>
      </c>
      <c r="P56" s="154" t="n">
        <v>4.223431799917248</v>
      </c>
      <c r="Q56" s="154" t="n">
        <v>6.396844572892292</v>
      </c>
      <c r="R56" s="154" t="n">
        <v>1.542041524916099</v>
      </c>
      <c r="S56" s="154" t="n">
        <v>17.55048381530334</v>
      </c>
      <c r="T56" s="153" t="n">
        <v>0.01137943927565522</v>
      </c>
      <c r="U56" s="153" t="n">
        <v>0.2779175839860979</v>
      </c>
      <c r="V56" s="153" t="n">
        <v>0.1423062511283032</v>
      </c>
      <c r="W56" s="153" t="n">
        <v>0.5368036757218509</v>
      </c>
      <c r="X56" s="153" t="n">
        <v>0.2187352697918284</v>
      </c>
      <c r="Y56" s="153" t="n">
        <v>0.3835460571954804</v>
      </c>
      <c r="Z56" s="153" t="n">
        <v>0.3835460571954804</v>
      </c>
      <c r="AA56" s="155" t="n">
        <v>0.3659777861602498</v>
      </c>
    </row>
    <row r="57" customFormat="1" s="140">
      <c r="A57" s="152" t="inlineStr">
        <is>
          <t>Oil/Gas Distribution</t>
        </is>
      </c>
      <c r="B57" s="76" t="n">
        <v>174</v>
      </c>
      <c r="C57" s="153" t="n">
        <v>0.1422407142857142</v>
      </c>
      <c r="D57" s="153" t="n">
        <v>0.2065239171594032</v>
      </c>
      <c r="E57" s="153" t="n">
        <v>0.1263403111518605</v>
      </c>
      <c r="F57" s="153" t="n">
        <v>0.1757616483506948</v>
      </c>
      <c r="G57" s="154" t="n">
        <v>0.5830689215795913</v>
      </c>
      <c r="H57" s="154" t="n">
        <v>0.8547732753174833</v>
      </c>
      <c r="I57" s="153" t="n">
        <v>0.09359096694785068</v>
      </c>
      <c r="J57" s="153" t="n">
        <v>0.2960483479002392</v>
      </c>
      <c r="K57" s="153" t="n">
        <v>0.064355</v>
      </c>
      <c r="L57" s="153" t="n">
        <v>0.4134481382681034</v>
      </c>
      <c r="M57" s="153" t="n">
        <v>0.07476640325243068</v>
      </c>
      <c r="N57" s="154" t="n">
        <v>0.7011935349847029</v>
      </c>
      <c r="O57" s="154" t="n">
        <v>2.435044126632088</v>
      </c>
      <c r="P57" s="154" t="n">
        <v>8.653830991382097</v>
      </c>
      <c r="Q57" s="154" t="n">
        <v>11.66765742791088</v>
      </c>
      <c r="R57" s="154" t="n">
        <v>1.731947340357605</v>
      </c>
      <c r="S57" s="154" t="n">
        <v>379.6137201341006</v>
      </c>
      <c r="T57" s="153" t="n">
        <v>0.04040003139702517</v>
      </c>
      <c r="U57" s="153" t="n">
        <v>0.117181324181927</v>
      </c>
      <c r="V57" s="153" t="n">
        <v>0.08023052540611675</v>
      </c>
      <c r="W57" s="153" t="n">
        <v>0.4787973670968173</v>
      </c>
      <c r="X57" s="153" t="n">
        <v>0.1980299140664167</v>
      </c>
      <c r="Y57" s="153" t="n">
        <v>0.5813383192295897</v>
      </c>
      <c r="Z57" s="153" t="n">
        <v>0.5813383192295897</v>
      </c>
      <c r="AA57" s="155" t="n">
        <v>0.2076674028122782</v>
      </c>
    </row>
    <row r="58" customFormat="1" s="140">
      <c r="A58" s="152" t="inlineStr">
        <is>
          <t>Oilfield Svcs/Equip.</t>
        </is>
      </c>
      <c r="B58" s="76" t="n">
        <v>444</v>
      </c>
      <c r="C58" s="153" t="n">
        <v>0.07793392441860454</v>
      </c>
      <c r="D58" s="153" t="n">
        <v>0.06721194579633338</v>
      </c>
      <c r="E58" s="153" t="n">
        <v>0.1455332565605643</v>
      </c>
      <c r="F58" s="153" t="n">
        <v>0.2301869480268256</v>
      </c>
      <c r="G58" s="154" t="n">
        <v>0.8165003226031389</v>
      </c>
      <c r="H58" s="154" t="n">
        <v>0.9765462243377152</v>
      </c>
      <c r="I58" s="153" t="n">
        <v>0.1013966129800476</v>
      </c>
      <c r="J58" s="153" t="n">
        <v>0.3610258232993199</v>
      </c>
      <c r="K58" s="153" t="n">
        <v>0.064355</v>
      </c>
      <c r="L58" s="153" t="n">
        <v>0.2935772163677403</v>
      </c>
      <c r="M58" s="153" t="n">
        <v>0.08573829079412766</v>
      </c>
      <c r="N58" s="154" t="n">
        <v>2.483571853868624</v>
      </c>
      <c r="O58" s="154" t="n">
        <v>0.6441414790034152</v>
      </c>
      <c r="P58" s="154" t="n">
        <v>6.43827911918698</v>
      </c>
      <c r="Q58" s="154" t="n">
        <v>8.887525466584956</v>
      </c>
      <c r="R58" s="154" t="n">
        <v>1.489958451553507</v>
      </c>
      <c r="S58" s="154" t="n">
        <v>46.82672174092001</v>
      </c>
      <c r="T58" s="153" t="n">
        <v>0.06444806614870509</v>
      </c>
      <c r="U58" s="153" t="n">
        <v>0.03925516206594541</v>
      </c>
      <c r="V58" s="153" t="n">
        <v>0.02153472183410341</v>
      </c>
      <c r="W58" s="153" t="n">
        <v>0.4117345276924747</v>
      </c>
      <c r="X58" s="153" t="n">
        <v>0.1671058520345248</v>
      </c>
      <c r="Y58" s="153" t="n">
        <v>0.2527854321469118</v>
      </c>
      <c r="Z58" s="153" t="n">
        <v>0.2527854321469118</v>
      </c>
      <c r="AA58" s="155" t="n">
        <v>0.06781531627866516</v>
      </c>
    </row>
    <row r="59" customFormat="1" s="140">
      <c r="A59" s="152" t="inlineStr">
        <is>
          <t>Packaging &amp; Container</t>
        </is>
      </c>
      <c r="B59" s="76" t="n">
        <v>164</v>
      </c>
      <c r="C59" s="153" t="n">
        <v>0.05769475409836063</v>
      </c>
      <c r="D59" s="153" t="n">
        <v>0.09169746929068487</v>
      </c>
      <c r="E59" s="153" t="n">
        <v>0.1215842911669141</v>
      </c>
      <c r="F59" s="153" t="n">
        <v>0.2119930834818985</v>
      </c>
      <c r="G59" s="154" t="n">
        <v>0.6316970637097283</v>
      </c>
      <c r="H59" s="154" t="n">
        <v>0.8265207149361419</v>
      </c>
      <c r="I59" s="153" t="n">
        <v>0.0917799778274067</v>
      </c>
      <c r="J59" s="153" t="n">
        <v>0.2595251335373906</v>
      </c>
      <c r="K59" s="153" t="n">
        <v>0.064355</v>
      </c>
      <c r="L59" s="153" t="n">
        <v>0.3448416311672344</v>
      </c>
      <c r="M59" s="153" t="n">
        <v>0.07670361763908064</v>
      </c>
      <c r="N59" s="154" t="n">
        <v>1.563525798101618</v>
      </c>
      <c r="O59" s="154" t="n">
        <v>1.404068966346003</v>
      </c>
      <c r="P59" s="154" t="n">
        <v>9.292198976996429</v>
      </c>
      <c r="Q59" s="154" t="n">
        <v>15.08546207934966</v>
      </c>
      <c r="R59" s="154" t="n">
        <v>2.200656057188772</v>
      </c>
      <c r="S59" s="154" t="n">
        <v>29.94938723383128</v>
      </c>
      <c r="T59" s="153" t="n">
        <v>0.1350332314595924</v>
      </c>
      <c r="U59" s="153" t="n">
        <v>0.07343027175461075</v>
      </c>
      <c r="V59" s="153" t="n">
        <v>0.04086198825010945</v>
      </c>
      <c r="W59" s="153" t="n">
        <v>0.7646709334749729</v>
      </c>
      <c r="X59" s="153" t="n">
        <v>0.1243761556300338</v>
      </c>
      <c r="Y59" s="153" t="n">
        <v>0.4054811178738056</v>
      </c>
      <c r="Z59" s="153" t="n">
        <v>0.4054811178738056</v>
      </c>
      <c r="AA59" s="155" t="n">
        <v>0.09212216844434899</v>
      </c>
    </row>
    <row r="60" customFormat="1" s="140">
      <c r="A60" s="152" t="inlineStr">
        <is>
          <t>Paper/Forest Products</t>
        </is>
      </c>
      <c r="B60" s="76" t="n">
        <v>266</v>
      </c>
      <c r="C60" s="153" t="n">
        <v>0.03015177033492821</v>
      </c>
      <c r="D60" s="153" t="n">
        <v>0.06546926515126186</v>
      </c>
      <c r="E60" s="153" t="n">
        <v>0.04957375628766859</v>
      </c>
      <c r="F60" s="153" t="n">
        <v>0.208529801624149</v>
      </c>
      <c r="G60" s="154" t="n">
        <v>0.6745272635760394</v>
      </c>
      <c r="H60" s="154" t="n">
        <v>0.9112356226770695</v>
      </c>
      <c r="I60" s="153" t="n">
        <v>0.09721020341360015</v>
      </c>
      <c r="J60" s="153" t="n">
        <v>0.2923214250279433</v>
      </c>
      <c r="K60" s="153" t="n">
        <v>0.064355</v>
      </c>
      <c r="L60" s="153" t="n">
        <v>0.3922147783905393</v>
      </c>
      <c r="M60" s="153" t="n">
        <v>0.07793289042932547</v>
      </c>
      <c r="N60" s="154" t="n">
        <v>0.8661449398864449</v>
      </c>
      <c r="O60" s="154" t="n">
        <v>1.310328744108613</v>
      </c>
      <c r="P60" s="154" t="n">
        <v>10.14529602561392</v>
      </c>
      <c r="Q60" s="154" t="n">
        <v>19.40972573432438</v>
      </c>
      <c r="R60" s="154" t="n">
        <v>1.070011315352587</v>
      </c>
      <c r="S60" s="154" t="n">
        <v>53.229040853217</v>
      </c>
      <c r="T60" s="153" t="n">
        <v>0.1930102384308354</v>
      </c>
      <c r="U60" s="153" t="n">
        <v>0.1035625412714255</v>
      </c>
      <c r="V60" s="153" t="n">
        <v>0.06828682180288677</v>
      </c>
      <c r="W60" s="153" t="n">
        <v>1.52704015956103</v>
      </c>
      <c r="X60" s="153" t="n">
        <v>0.06468581288494168</v>
      </c>
      <c r="Y60" s="153" t="n">
        <v>0.5588183001769145</v>
      </c>
      <c r="Z60" s="153" t="n">
        <v>0.5588183001769145</v>
      </c>
      <c r="AA60" s="155" t="n">
        <v>0.06527002673893552</v>
      </c>
    </row>
    <row r="61" customFormat="1" s="140">
      <c r="A61" s="152" t="inlineStr">
        <is>
          <t>Power</t>
        </is>
      </c>
      <c r="B61" s="76" t="n">
        <v>488</v>
      </c>
      <c r="C61" s="153" t="n">
        <v>0.1055349127182045</v>
      </c>
      <c r="D61" s="153" t="n">
        <v>0.1354299180541982</v>
      </c>
      <c r="E61" s="153" t="n">
        <v>0.07777329056638796</v>
      </c>
      <c r="F61" s="153" t="n">
        <v>0.2080597200763366</v>
      </c>
      <c r="G61" s="154" t="n">
        <v>0.4470973992829683</v>
      </c>
      <c r="H61" s="154" t="n">
        <v>0.7365451827825262</v>
      </c>
      <c r="I61" s="153" t="n">
        <v>0.08601254621635993</v>
      </c>
      <c r="J61" s="153" t="n">
        <v>0.2534237963255367</v>
      </c>
      <c r="K61" s="153" t="n">
        <v>0.064355</v>
      </c>
      <c r="L61" s="153" t="n">
        <v>0.4959079416128611</v>
      </c>
      <c r="M61" s="153" t="n">
        <v>0.06719173285833156</v>
      </c>
      <c r="N61" s="154" t="n">
        <v>0.6852687404907297</v>
      </c>
      <c r="O61" s="154" t="n">
        <v>1.984244030678483</v>
      </c>
      <c r="P61" s="154" t="n">
        <v>8.710860032149967</v>
      </c>
      <c r="Q61" s="154" t="n">
        <v>14.1130542686197</v>
      </c>
      <c r="R61" s="154" t="n">
        <v>1.305439846186917</v>
      </c>
      <c r="S61" s="154" t="n">
        <v>19.74645453790871</v>
      </c>
      <c r="T61" s="153" t="n">
        <v>0.05132105258021417</v>
      </c>
      <c r="U61" s="153" t="n">
        <v>0.1614503136659639</v>
      </c>
      <c r="V61" s="153" t="n">
        <v>0.09784599700916358</v>
      </c>
      <c r="W61" s="153" t="n">
        <v>0.9399752179719837</v>
      </c>
      <c r="X61" s="153" t="n">
        <v>0.1242500592817551</v>
      </c>
      <c r="Y61" s="153" t="n">
        <v>0.6306400614403213</v>
      </c>
      <c r="Z61" s="153" t="n">
        <v>0.6306400614403213</v>
      </c>
      <c r="AA61" s="155" t="n">
        <v>0.1354767171617662</v>
      </c>
    </row>
    <row r="62" customFormat="1" s="140">
      <c r="A62" s="152" t="inlineStr">
        <is>
          <t>Precious Metals</t>
        </is>
      </c>
      <c r="B62" s="76" t="n">
        <v>853</v>
      </c>
      <c r="C62" s="153" t="n">
        <v>0.3966127956989247</v>
      </c>
      <c r="D62" s="153" t="n">
        <v>0.1171642848287329</v>
      </c>
      <c r="E62" s="153" t="n">
        <v>0.09093109941714549</v>
      </c>
      <c r="F62" s="153" t="n">
        <v>0.2565986266067098</v>
      </c>
      <c r="G62" s="154" t="n">
        <v>1.040235070166594</v>
      </c>
      <c r="H62" s="154" t="n">
        <v>1.09164171050347</v>
      </c>
      <c r="I62" s="153" t="n">
        <v>0.1087742336432725</v>
      </c>
      <c r="J62" s="153" t="n">
        <v>0.6015926072615447</v>
      </c>
      <c r="K62" s="153" t="n">
        <v>0.067024</v>
      </c>
      <c r="L62" s="153" t="n">
        <v>0.1554288927388723</v>
      </c>
      <c r="M62" s="153" t="n">
        <v>0.09964733863823469</v>
      </c>
      <c r="N62" s="154" t="n">
        <v>0.8076654779709096</v>
      </c>
      <c r="O62" s="154" t="n">
        <v>2.388243444540735</v>
      </c>
      <c r="P62" s="154" t="n">
        <v>8.812981190868681</v>
      </c>
      <c r="Q62" s="154" t="n">
        <v>18.8279381793466</v>
      </c>
      <c r="R62" s="154" t="n">
        <v>1.676322063002546</v>
      </c>
      <c r="S62" s="154" t="n">
        <v>250.1673996690024</v>
      </c>
      <c r="T62" s="153" t="n">
        <v>0.1087692078076159</v>
      </c>
      <c r="U62" s="153" t="n">
        <v>0.185931052728624</v>
      </c>
      <c r="V62" s="153" t="n">
        <v>0.1127933403861454</v>
      </c>
      <c r="W62" s="153" t="n">
        <v>1.560681789819641</v>
      </c>
      <c r="X62" s="153" t="n">
        <v>0.04323632085428126</v>
      </c>
      <c r="Y62" s="153" t="n">
        <v>0.9830800612665049</v>
      </c>
      <c r="Z62" s="153" t="n">
        <v>0.9830800612665049</v>
      </c>
      <c r="AA62" s="155" t="n">
        <v>0.1175029748607346</v>
      </c>
    </row>
    <row r="63" customFormat="1" s="140">
      <c r="A63" s="152" t="inlineStr">
        <is>
          <t>Publishing &amp; Newspapers</t>
        </is>
      </c>
      <c r="B63" s="76" t="n">
        <v>205</v>
      </c>
      <c r="C63" s="153" t="n">
        <v>0.02564928571428572</v>
      </c>
      <c r="D63" s="153" t="n">
        <v>0.07573367001420954</v>
      </c>
      <c r="E63" s="153" t="n">
        <v>0.09169301901251485</v>
      </c>
      <c r="F63" s="153" t="n">
        <v>0.118450253445926</v>
      </c>
      <c r="G63" s="154" t="n">
        <v>0.9817443994255777</v>
      </c>
      <c r="H63" s="154" t="n">
        <v>0.9866745455715931</v>
      </c>
      <c r="I63" s="153" t="n">
        <v>0.1020458383711391</v>
      </c>
      <c r="J63" s="153" t="n">
        <v>0.3004595768761684</v>
      </c>
      <c r="K63" s="153" t="n">
        <v>0.064355</v>
      </c>
      <c r="L63" s="153" t="n">
        <v>0.1769683744678393</v>
      </c>
      <c r="M63" s="153" t="n">
        <v>0.09249210787838472</v>
      </c>
      <c r="N63" s="154" t="n">
        <v>1.437509492643052</v>
      </c>
      <c r="O63" s="154" t="n">
        <v>1.544761587796009</v>
      </c>
      <c r="P63" s="154" t="n">
        <v>12.19735357007114</v>
      </c>
      <c r="Q63" s="154" t="n">
        <v>19.63201317528329</v>
      </c>
      <c r="R63" s="154" t="n">
        <v>1.677959929378924</v>
      </c>
      <c r="S63" s="154" t="n">
        <v>41.06407433123332</v>
      </c>
      <c r="T63" s="153" t="n">
        <v>0.08439681637780193</v>
      </c>
      <c r="U63" s="153" t="n">
        <v>0.03023021107723154</v>
      </c>
      <c r="V63" s="153" t="n">
        <v>-0.01312656348609045</v>
      </c>
      <c r="W63" s="153" t="n">
        <v>-0.1084287914861991</v>
      </c>
      <c r="X63" s="153" t="n">
        <v>0.0891230221772735</v>
      </c>
      <c r="Y63" s="153" t="n">
        <v>0.4136493006075095</v>
      </c>
      <c r="Z63" s="153" t="n">
        <v>0.4136493006075095</v>
      </c>
      <c r="AA63" s="155" t="n">
        <v>0.07367611150434793</v>
      </c>
    </row>
    <row r="64" customFormat="1" s="140">
      <c r="A64" s="152" t="inlineStr">
        <is>
          <t>R.E.I.T.</t>
        </is>
      </c>
      <c r="B64" s="76" t="n">
        <v>633</v>
      </c>
      <c r="C64" s="153" t="n">
        <v>0.09177229257641924</v>
      </c>
      <c r="D64" s="153" t="n">
        <v>0.3040263911466484</v>
      </c>
      <c r="E64" s="153" t="n">
        <v>0.03187062404134792</v>
      </c>
      <c r="F64" s="153" t="n">
        <v>0.03285063137211881</v>
      </c>
      <c r="G64" s="154" t="n">
        <v>0.5171570141237798</v>
      </c>
      <c r="H64" s="154" t="n">
        <v>0.8038216655582671</v>
      </c>
      <c r="I64" s="153" t="n">
        <v>0.09032496876228492</v>
      </c>
      <c r="J64" s="153" t="n">
        <v>0.1944034571096546</v>
      </c>
      <c r="K64" s="153" t="n">
        <v>0.058543</v>
      </c>
      <c r="L64" s="153" t="n">
        <v>0.4410342492376667</v>
      </c>
      <c r="M64" s="153" t="n">
        <v>0.06977054271886544</v>
      </c>
      <c r="N64" s="154" t="n">
        <v>0.1146129794462115</v>
      </c>
      <c r="O64" s="154" t="n">
        <v>11.92815305344195</v>
      </c>
      <c r="P64" s="154" t="n">
        <v>21.65996365307224</v>
      </c>
      <c r="Q64" s="154" t="n">
        <v>36.90712347621871</v>
      </c>
      <c r="R64" s="154" t="n">
        <v>1.487332924368139</v>
      </c>
      <c r="S64" s="154" t="n">
        <v>65.22452981928245</v>
      </c>
      <c r="T64" s="153" t="n">
        <v>0.9439669734489357</v>
      </c>
      <c r="U64" s="153" t="n">
        <v>0.06072525190445934</v>
      </c>
      <c r="V64" s="153" t="n">
        <v>-0.05904513534735768</v>
      </c>
      <c r="W64" s="153" t="n">
        <v>-0.1840267520043626</v>
      </c>
      <c r="X64" s="153" t="n">
        <v>0.02032431292063161</v>
      </c>
      <c r="Y64" s="153" t="n">
        <v>3.429805526937359</v>
      </c>
      <c r="Z64" s="153" t="n">
        <v>3.429805526937359</v>
      </c>
      <c r="AA64" s="155" t="n">
        <v>0.2837951675533609</v>
      </c>
    </row>
    <row r="65" customFormat="1" s="140">
      <c r="A65" s="152" t="inlineStr">
        <is>
          <t>Real Estate (Development)</t>
        </is>
      </c>
      <c r="B65" s="76" t="n">
        <v>884</v>
      </c>
      <c r="C65" s="153" t="n">
        <v>0.1048918558282207</v>
      </c>
      <c r="D65" s="153" t="n">
        <v>0.05008086776968078</v>
      </c>
      <c r="E65" s="153" t="n">
        <v>0.02051944444336724</v>
      </c>
      <c r="F65" s="153" t="n">
        <v>0.2936327237915765</v>
      </c>
      <c r="G65" s="154" t="n">
        <v>0.4151846023610043</v>
      </c>
      <c r="H65" s="154" t="n">
        <v>0.9838192893514586</v>
      </c>
      <c r="I65" s="153" t="n">
        <v>0.1018628164474285</v>
      </c>
      <c r="J65" s="153" t="n">
        <v>0.3226407984583051</v>
      </c>
      <c r="K65" s="153" t="n">
        <v>0.064355</v>
      </c>
      <c r="L65" s="153" t="n">
        <v>0.7133891845775145</v>
      </c>
      <c r="M65" s="153" t="n">
        <v>0.06348069309822775</v>
      </c>
      <c r="N65" s="154" t="n">
        <v>0.4813605407740622</v>
      </c>
      <c r="O65" s="154" t="n">
        <v>1.684476937176809</v>
      </c>
      <c r="P65" s="154" t="n">
        <v>13.21058928721682</v>
      </c>
      <c r="Q65" s="154" t="n">
        <v>25.06154489591687</v>
      </c>
      <c r="R65" s="154" t="n">
        <v>0.4749923270093885</v>
      </c>
      <c r="S65" s="154" t="n">
        <v>85.61782512481714</v>
      </c>
      <c r="T65" s="153" t="n">
        <v>1.937290474838962</v>
      </c>
      <c r="U65" s="153" t="n">
        <v>0.02417575192450307</v>
      </c>
      <c r="V65" s="153" t="n">
        <v>0.0156418801478079</v>
      </c>
      <c r="W65" s="153" t="n">
        <v>-2.487486232322233</v>
      </c>
      <c r="X65" s="153" t="n">
        <v>-0.03484020169433607</v>
      </c>
      <c r="Y65" s="153" t="n">
        <v>0.007953247477577667</v>
      </c>
      <c r="Z65" s="153" t="n">
        <v>0.007953247477577641</v>
      </c>
      <c r="AA65" s="155" t="n">
        <v>0.0498287797806548</v>
      </c>
    </row>
    <row r="66" customFormat="1" s="140">
      <c r="A66" s="152" t="inlineStr">
        <is>
          <t>Real Estate (General/Diversified)</t>
        </is>
      </c>
      <c r="B66" s="76" t="n">
        <v>336</v>
      </c>
      <c r="C66" s="153" t="n">
        <v>0.04387340579710147</v>
      </c>
      <c r="D66" s="153" t="n">
        <v>0.1516747400265559</v>
      </c>
      <c r="E66" s="153" t="n">
        <v>0.03505435488761947</v>
      </c>
      <c r="F66" s="153" t="n">
        <v>0.2811506132640647</v>
      </c>
      <c r="G66" s="154" t="n">
        <v>0.5402762120215626</v>
      </c>
      <c r="H66" s="154" t="n">
        <v>0.9412697957463099</v>
      </c>
      <c r="I66" s="153" t="n">
        <v>0.09913539390733847</v>
      </c>
      <c r="J66" s="153" t="n">
        <v>0.2554878821858774</v>
      </c>
      <c r="K66" s="153" t="n">
        <v>0.064355</v>
      </c>
      <c r="L66" s="153" t="n">
        <v>0.547358067353954</v>
      </c>
      <c r="M66" s="153" t="n">
        <v>0.07117903687930892</v>
      </c>
      <c r="N66" s="154" t="n">
        <v>0.2635230813358878</v>
      </c>
      <c r="O66" s="154" t="n">
        <v>3.345216132295699</v>
      </c>
      <c r="P66" s="154" t="n">
        <v>13.53367264467728</v>
      </c>
      <c r="Q66" s="154" t="n">
        <v>19.75532477360392</v>
      </c>
      <c r="R66" s="154" t="n">
        <v>0.6763235915355325</v>
      </c>
      <c r="S66" s="154" t="n">
        <v>82.37810039802746</v>
      </c>
      <c r="T66" s="153" t="n">
        <v>1.12970956011267</v>
      </c>
      <c r="U66" s="153" t="n">
        <v>0.08625186294579879</v>
      </c>
      <c r="V66" s="153" t="n">
        <v>0.08263981951953811</v>
      </c>
      <c r="W66" s="153" t="n">
        <v>1.101716107166684</v>
      </c>
      <c r="X66" s="153" t="n">
        <v>0.03972777403412023</v>
      </c>
      <c r="Y66" s="153" t="n">
        <v>0.5754716568717486</v>
      </c>
      <c r="Z66" s="153" t="n">
        <v>0.5754716568717486</v>
      </c>
      <c r="AA66" s="155" t="n">
        <v>0.1572665713040478</v>
      </c>
    </row>
    <row r="67" customFormat="1" s="140">
      <c r="A67" s="152" t="inlineStr">
        <is>
          <t>Real Estate (Operations &amp; Services)</t>
        </is>
      </c>
      <c r="B67" s="76" t="n">
        <v>748</v>
      </c>
      <c r="C67" s="153" t="n">
        <v>0.08533802656546501</v>
      </c>
      <c r="D67" s="153" t="n">
        <v>0.1693451335057332</v>
      </c>
      <c r="E67" s="153" t="n">
        <v>0.0390658898330803</v>
      </c>
      <c r="F67" s="153" t="n">
        <v>0.2097948444937418</v>
      </c>
      <c r="G67" s="154" t="n">
        <v>0.5601396650240728</v>
      </c>
      <c r="H67" s="154" t="n">
        <v>0.8751991180677636</v>
      </c>
      <c r="I67" s="153" t="n">
        <v>0.09490026346814365</v>
      </c>
      <c r="J67" s="153" t="n">
        <v>0.2896694113717814</v>
      </c>
      <c r="K67" s="153" t="n">
        <v>0.064355</v>
      </c>
      <c r="L67" s="153" t="n">
        <v>0.4713284472429126</v>
      </c>
      <c r="M67" s="153" t="n">
        <v>0.07282326281638701</v>
      </c>
      <c r="N67" s="154" t="n">
        <v>0.2541719376613648</v>
      </c>
      <c r="O67" s="154" t="n">
        <v>4.07048036219056</v>
      </c>
      <c r="P67" s="154" t="n">
        <v>16.50127168850258</v>
      </c>
      <c r="Q67" s="154" t="n">
        <v>21.26265606980115</v>
      </c>
      <c r="R67" s="154" t="n">
        <v>0.9182357349998911</v>
      </c>
      <c r="S67" s="154" t="n">
        <v>66.29074531924105</v>
      </c>
      <c r="T67" s="153" t="n">
        <v>0.1938185373224225</v>
      </c>
      <c r="U67" s="153" t="n">
        <v>0.02508911261182959</v>
      </c>
      <c r="V67" s="153" t="n">
        <v>0.02319083536052351</v>
      </c>
      <c r="W67" s="153" t="n">
        <v>0.1355762381327831</v>
      </c>
      <c r="X67" s="153" t="n">
        <v>-0.02815433413063338</v>
      </c>
      <c r="Y67" s="153" t="n">
        <v>0.00659584636683741</v>
      </c>
      <c r="Z67" s="153" t="n">
        <v>0.00659584636683741</v>
      </c>
      <c r="AA67" s="155" t="n">
        <v>0.1758237230390268</v>
      </c>
    </row>
    <row r="68" customFormat="1" s="140">
      <c r="A68" s="152" t="inlineStr">
        <is>
          <t>Recreation</t>
        </is>
      </c>
      <c r="B68" s="76" t="n">
        <v>326</v>
      </c>
      <c r="C68" s="153" t="n">
        <v>0.0674533744855967</v>
      </c>
      <c r="D68" s="153" t="n">
        <v>0.1125773665881147</v>
      </c>
      <c r="E68" s="153" t="n">
        <v>0.1118567611101358</v>
      </c>
      <c r="F68" s="153" t="n">
        <v>0.2454986204091082</v>
      </c>
      <c r="G68" s="154" t="n">
        <v>0.9009533857969224</v>
      </c>
      <c r="H68" s="154" t="n">
        <v>0.9948681136678436</v>
      </c>
      <c r="I68" s="153" t="n">
        <v>0.1025710460861088</v>
      </c>
      <c r="J68" s="153" t="n">
        <v>0.3155156221900384</v>
      </c>
      <c r="K68" s="153" t="n">
        <v>0.064355</v>
      </c>
      <c r="L68" s="153" t="n">
        <v>0.2126829813458848</v>
      </c>
      <c r="M68" s="153" t="n">
        <v>0.09097754107068838</v>
      </c>
      <c r="N68" s="154" t="n">
        <v>1.217049747767757</v>
      </c>
      <c r="O68" s="154" t="n">
        <v>2.160551773164861</v>
      </c>
      <c r="P68" s="154" t="n">
        <v>11.79325701668915</v>
      </c>
      <c r="Q68" s="154" t="n">
        <v>19.32499640294218</v>
      </c>
      <c r="R68" s="154" t="n">
        <v>3.039786859863082</v>
      </c>
      <c r="S68" s="154" t="n">
        <v>65.70636344576501</v>
      </c>
      <c r="T68" s="153" t="n">
        <v>0.1635104981993002</v>
      </c>
      <c r="U68" s="153" t="n">
        <v>0.06218833328725205</v>
      </c>
      <c r="V68" s="153" t="n">
        <v>0.03062678655343194</v>
      </c>
      <c r="W68" s="153" t="n">
        <v>0.4828574746721972</v>
      </c>
      <c r="X68" s="153" t="n">
        <v>0.09452247803676618</v>
      </c>
      <c r="Y68" s="153" t="n">
        <v>0.4868889544762211</v>
      </c>
      <c r="Z68" s="153" t="n">
        <v>0.4868889544762212</v>
      </c>
      <c r="AA68" s="155" t="n">
        <v>0.1063393055018441</v>
      </c>
    </row>
    <row r="69" customFormat="1" s="140">
      <c r="A69" s="152" t="inlineStr">
        <is>
          <t>Reinsurance</t>
        </is>
      </c>
      <c r="B69" s="76" t="n">
        <v>34</v>
      </c>
      <c r="C69" s="153" t="n">
        <v>0.08025758620689656</v>
      </c>
      <c r="D69" s="153" t="n">
        <v>0.1023497284235328</v>
      </c>
      <c r="E69" s="153" t="n">
        <v>0.2330041158609197</v>
      </c>
      <c r="F69" s="153" t="n">
        <v>0.1710653074295284</v>
      </c>
      <c r="G69" s="154" t="n">
        <v>1.085769351207668</v>
      </c>
      <c r="H69" s="154" t="n">
        <v>1.141023579620872</v>
      </c>
      <c r="I69" s="153" t="n">
        <v>0.1119396114536979</v>
      </c>
      <c r="J69" s="153" t="n">
        <v>0.2342981269485355</v>
      </c>
      <c r="K69" s="153" t="n">
        <v>0.058543</v>
      </c>
      <c r="L69" s="153" t="n">
        <v>0.2153899801383451</v>
      </c>
      <c r="M69" s="153" t="n">
        <v>0.09724577182947802</v>
      </c>
      <c r="N69" s="154" t="n">
        <v>2.61483968472586</v>
      </c>
      <c r="O69" s="154" t="n">
        <v>0.7571375575209436</v>
      </c>
      <c r="P69" s="154" t="n">
        <v>8.518185888789773</v>
      </c>
      <c r="Q69" s="154" t="n">
        <v>7.379860497167063</v>
      </c>
      <c r="R69" s="154" t="n">
        <v>1.33864750863033</v>
      </c>
      <c r="S69" s="154" t="n">
        <v>13.49980534711361</v>
      </c>
      <c r="T69" s="153" t="n">
        <v>-0.6973276816797297</v>
      </c>
      <c r="U69" s="153" t="n">
        <v>0.0006738376188928387</v>
      </c>
      <c r="V69" s="153" t="n">
        <v>0.01849122836690843</v>
      </c>
      <c r="W69" s="153" t="n">
        <v>0.3139354985464555</v>
      </c>
      <c r="X69" s="153" t="n">
        <v>0.1899909033090719</v>
      </c>
      <c r="Y69" s="153" t="n">
        <v>0.2104238469281281</v>
      </c>
      <c r="Z69" s="153" t="n">
        <v>0.2104238469281281</v>
      </c>
      <c r="AA69" s="155" t="n">
        <v>0.1022789616198158</v>
      </c>
    </row>
    <row r="70" customFormat="1" s="140">
      <c r="A70" s="152" t="inlineStr">
        <is>
          <t>Restaurant/Dining</t>
        </is>
      </c>
      <c r="B70" s="76" t="n">
        <v>394</v>
      </c>
      <c r="C70" s="153" t="n">
        <v>0.03625762237762235</v>
      </c>
      <c r="D70" s="153" t="n">
        <v>0.0950590109572972</v>
      </c>
      <c r="E70" s="153" t="n">
        <v>0.1287733318373561</v>
      </c>
      <c r="F70" s="153" t="n">
        <v>0.1920045424569712</v>
      </c>
      <c r="G70" s="154" t="n">
        <v>0.846912094547189</v>
      </c>
      <c r="H70" s="154" t="n">
        <v>0.9801535686910067</v>
      </c>
      <c r="I70" s="153" t="n">
        <v>0.1016278437530935</v>
      </c>
      <c r="J70" s="153" t="n">
        <v>0.2986020729082444</v>
      </c>
      <c r="K70" s="153" t="n">
        <v>0.064355</v>
      </c>
      <c r="L70" s="153" t="n">
        <v>0.2147211782707588</v>
      </c>
      <c r="M70" s="153" t="n">
        <v>0.09012576064745535</v>
      </c>
      <c r="N70" s="154" t="n">
        <v>1.717045367186875</v>
      </c>
      <c r="O70" s="154" t="n">
        <v>2.689154149655911</v>
      </c>
      <c r="P70" s="154" t="n">
        <v>16.48286806183112</v>
      </c>
      <c r="Q70" s="154" t="n">
        <v>29.12715868756417</v>
      </c>
      <c r="R70" s="154" t="n">
        <v>9.191184194179941</v>
      </c>
      <c r="S70" s="154" t="n">
        <v>79.59438351118553</v>
      </c>
      <c r="T70" s="153" t="n">
        <v>-0.01557092685096039</v>
      </c>
      <c r="U70" s="153" t="n">
        <v>0.04211229333439904</v>
      </c>
      <c r="V70" s="153" t="n">
        <v>0.01654178029422383</v>
      </c>
      <c r="W70" s="153" t="n">
        <v>0.2483825751653094</v>
      </c>
      <c r="X70" s="153" t="n">
        <v>0.246468664459626</v>
      </c>
      <c r="Y70" s="153" t="n">
        <v>0.6404025280634019</v>
      </c>
      <c r="Z70" s="153" t="n">
        <v>0.6404025280634019</v>
      </c>
      <c r="AA70" s="155" t="n">
        <v>0.08689553242317746</v>
      </c>
    </row>
    <row r="71" customFormat="1" s="140">
      <c r="A71" s="152" t="inlineStr">
        <is>
          <t>Retail (Automotive)</t>
        </is>
      </c>
      <c r="B71" s="76" t="n">
        <v>204</v>
      </c>
      <c r="C71" s="153" t="n">
        <v>0.07397937931034482</v>
      </c>
      <c r="D71" s="153" t="n">
        <v>0.0458436340037138</v>
      </c>
      <c r="E71" s="153" t="n">
        <v>0.1048118275622301</v>
      </c>
      <c r="F71" s="153" t="n">
        <v>0.2275776164708411</v>
      </c>
      <c r="G71" s="154" t="n">
        <v>0.7151526523022778</v>
      </c>
      <c r="H71" s="154" t="n">
        <v>0.9984182748699072</v>
      </c>
      <c r="I71" s="153" t="n">
        <v>0.1027986114191611</v>
      </c>
      <c r="J71" s="153" t="n">
        <v>0.3273261317518816</v>
      </c>
      <c r="K71" s="153" t="n">
        <v>0.064355</v>
      </c>
      <c r="L71" s="153" t="n">
        <v>0.3844885369496276</v>
      </c>
      <c r="M71" s="153" t="n">
        <v>0.08175236352935425</v>
      </c>
      <c r="N71" s="154" t="n">
        <v>2.924983089877199</v>
      </c>
      <c r="O71" s="154" t="n">
        <v>0.7630474626398555</v>
      </c>
      <c r="P71" s="154" t="n">
        <v>11.18868969079709</v>
      </c>
      <c r="Q71" s="154" t="n">
        <v>16.60613502857992</v>
      </c>
      <c r="R71" s="154" t="n">
        <v>3.251210132543064</v>
      </c>
      <c r="S71" s="154" t="n">
        <v>30.23868574486236</v>
      </c>
      <c r="T71" s="153" t="n">
        <v>0.1070637890288201</v>
      </c>
      <c r="U71" s="153" t="n">
        <v>0.0194756882094714</v>
      </c>
      <c r="V71" s="153" t="n">
        <v>0.01728176558704669</v>
      </c>
      <c r="W71" s="153" t="n">
        <v>0.8282777368984545</v>
      </c>
      <c r="X71" s="153" t="n">
        <v>0.2076925236086363</v>
      </c>
      <c r="Y71" s="153" t="n">
        <v>0.2613608473429688</v>
      </c>
      <c r="Z71" s="153" t="n">
        <v>0.2613608473429687</v>
      </c>
      <c r="AA71" s="155" t="n">
        <v>0.04367124306701525</v>
      </c>
    </row>
    <row r="72" customFormat="1" s="140">
      <c r="A72" s="152" t="inlineStr">
        <is>
          <t>Retail (Building Supply)</t>
        </is>
      </c>
      <c r="B72" s="76" t="n">
        <v>120</v>
      </c>
      <c r="C72" s="153" t="n">
        <v>0.05391283950617283</v>
      </c>
      <c r="D72" s="153" t="n">
        <v>0.1087667905882513</v>
      </c>
      <c r="E72" s="153" t="n">
        <v>0.2434078621058679</v>
      </c>
      <c r="F72" s="153" t="n">
        <v>0.243543717914554</v>
      </c>
      <c r="G72" s="154" t="n">
        <v>0.9624856160601152</v>
      </c>
      <c r="H72" s="154" t="n">
        <v>1.106906325026449</v>
      </c>
      <c r="I72" s="153" t="n">
        <v>0.1097526954341954</v>
      </c>
      <c r="J72" s="153" t="n">
        <v>0.3007135612942733</v>
      </c>
      <c r="K72" s="153" t="n">
        <v>0.064355</v>
      </c>
      <c r="L72" s="153" t="n">
        <v>0.1864372227857414</v>
      </c>
      <c r="M72" s="153" t="n">
        <v>0.09825093917256539</v>
      </c>
      <c r="N72" s="154" t="n">
        <v>2.830654398471693</v>
      </c>
      <c r="O72" s="154" t="n">
        <v>1.861882753209162</v>
      </c>
      <c r="P72" s="154" t="n">
        <v>12.92489424212178</v>
      </c>
      <c r="Q72" s="154" t="n">
        <v>17.00957681320483</v>
      </c>
      <c r="R72" s="154" t="n">
        <v>19.81108498180525</v>
      </c>
      <c r="S72" s="154" t="n">
        <v>33.61835865477092</v>
      </c>
      <c r="T72" s="153" t="n">
        <v>0.08974502663749973</v>
      </c>
      <c r="U72" s="153" t="n">
        <v>0.02635790719826963</v>
      </c>
      <c r="V72" s="153" t="n">
        <v>0.00845928944671635</v>
      </c>
      <c r="W72" s="153" t="n">
        <v>0.05879493485247261</v>
      </c>
      <c r="X72" s="153" t="n">
        <v>0.8522817280375387</v>
      </c>
      <c r="Y72" s="153" t="n">
        <v>0.4731673198122776</v>
      </c>
      <c r="Z72" s="153" t="n">
        <v>0.4731673198122776</v>
      </c>
      <c r="AA72" s="155" t="n">
        <v>0.1073679149146786</v>
      </c>
    </row>
    <row r="73" customFormat="1" s="140">
      <c r="A73" s="152" t="inlineStr">
        <is>
          <t>Retail (Distributors)</t>
        </is>
      </c>
      <c r="B73" s="76" t="n">
        <v>1028</v>
      </c>
      <c r="C73" s="153" t="n">
        <v>0.1037008665749656</v>
      </c>
      <c r="D73" s="153" t="n">
        <v>0.05219898471908768</v>
      </c>
      <c r="E73" s="153" t="n">
        <v>0.08729577431256277</v>
      </c>
      <c r="F73" s="153" t="n">
        <v>0.2207675989975343</v>
      </c>
      <c r="G73" s="154" t="n">
        <v>0.6107295837787713</v>
      </c>
      <c r="H73" s="154" t="n">
        <v>0.8024527976818078</v>
      </c>
      <c r="I73" s="153" t="n">
        <v>0.09023722433140388</v>
      </c>
      <c r="J73" s="153" t="n">
        <v>0.3108206914699261</v>
      </c>
      <c r="K73" s="153" t="n">
        <v>0.064355</v>
      </c>
      <c r="L73" s="153" t="n">
        <v>0.364474041352185</v>
      </c>
      <c r="M73" s="153" t="n">
        <v>0.07486483537116838</v>
      </c>
      <c r="N73" s="154" t="n">
        <v>1.985057925674646</v>
      </c>
      <c r="O73" s="154" t="n">
        <v>0.8312963718491312</v>
      </c>
      <c r="P73" s="154" t="n">
        <v>11.83796579376323</v>
      </c>
      <c r="Q73" s="154" t="n">
        <v>15.17094325756824</v>
      </c>
      <c r="R73" s="154" t="n">
        <v>1.689660297656029</v>
      </c>
      <c r="S73" s="154" t="n">
        <v>47.96349712077021</v>
      </c>
      <c r="T73" s="153" t="n">
        <v>0.1595069964561288</v>
      </c>
      <c r="U73" s="153" t="n">
        <v>0.02738572866676846</v>
      </c>
      <c r="V73" s="153" t="n">
        <v>0.02785637218603649</v>
      </c>
      <c r="W73" s="153" t="n">
        <v>0.7507573636319792</v>
      </c>
      <c r="X73" s="153" t="n">
        <v>0.1433250069558776</v>
      </c>
      <c r="Y73" s="153" t="n">
        <v>0.3617302774043809</v>
      </c>
      <c r="Z73" s="153" t="n">
        <v>0.3617302774043809</v>
      </c>
      <c r="AA73" s="155" t="n">
        <v>0.05259131543797803</v>
      </c>
    </row>
    <row r="74" customFormat="1" s="140">
      <c r="A74" s="152" t="inlineStr">
        <is>
          <t>Retail (General)</t>
        </is>
      </c>
      <c r="B74" s="76" t="n">
        <v>256</v>
      </c>
      <c r="C74" s="153" t="n">
        <v>0.009622615384615374</v>
      </c>
      <c r="D74" s="153" t="n">
        <v>0.04354224163527191</v>
      </c>
      <c r="E74" s="153" t="n">
        <v>0.08347827970872805</v>
      </c>
      <c r="F74" s="153" t="n">
        <v>0.1937942292977831</v>
      </c>
      <c r="G74" s="154" t="n">
        <v>0.9930678407425078</v>
      </c>
      <c r="H74" s="154" t="n">
        <v>1.085612499403836</v>
      </c>
      <c r="I74" s="153" t="n">
        <v>0.1083877612117859</v>
      </c>
      <c r="J74" s="153" t="n">
        <v>0.2972838203067489</v>
      </c>
      <c r="K74" s="153" t="n">
        <v>0.064355</v>
      </c>
      <c r="L74" s="153" t="n">
        <v>0.1680989294267965</v>
      </c>
      <c r="M74" s="153" t="n">
        <v>0.0982467819204331</v>
      </c>
      <c r="N74" s="154" t="n">
        <v>2.133572522347186</v>
      </c>
      <c r="O74" s="154" t="n">
        <v>1.48287295927218</v>
      </c>
      <c r="P74" s="154" t="n">
        <v>15.6117279525284</v>
      </c>
      <c r="Q74" s="154" t="n">
        <v>34.18498849935153</v>
      </c>
      <c r="R74" s="154" t="n">
        <v>4.7814203126748</v>
      </c>
      <c r="S74" s="154" t="n">
        <v>65.2537949012754</v>
      </c>
      <c r="T74" s="153" t="n">
        <v>-0.01245118370295062</v>
      </c>
      <c r="U74" s="153" t="n">
        <v>0.04724451227655675</v>
      </c>
      <c r="V74" s="153" t="n">
        <v>0.01900452171270066</v>
      </c>
      <c r="W74" s="153" t="n">
        <v>0.7258827172270916</v>
      </c>
      <c r="X74" s="153" t="n">
        <v>0.1507746362114674</v>
      </c>
      <c r="Y74" s="153" t="n">
        <v>0.2588761758041419</v>
      </c>
      <c r="Z74" s="153" t="n">
        <v>0.2588761758041419</v>
      </c>
      <c r="AA74" s="155" t="n">
        <v>0.04598248568076207</v>
      </c>
    </row>
    <row r="75" customFormat="1" s="140">
      <c r="A75" s="152" t="inlineStr">
        <is>
          <t>Retail (Grocery and Food)</t>
        </is>
      </c>
      <c r="B75" s="76" t="n">
        <v>201</v>
      </c>
      <c r="C75" s="153" t="n">
        <v>0.05332968354430376</v>
      </c>
      <c r="D75" s="153" t="n">
        <v>0.03915268277880765</v>
      </c>
      <c r="E75" s="153" t="n">
        <v>0.1088812105703706</v>
      </c>
      <c r="F75" s="153" t="n">
        <v>0.2347511594460772</v>
      </c>
      <c r="G75" s="154" t="n">
        <v>0.5519051683925643</v>
      </c>
      <c r="H75" s="154" t="n">
        <v>0.7056803608268388</v>
      </c>
      <c r="I75" s="153" t="n">
        <v>0.08403411112900037</v>
      </c>
      <c r="J75" s="153" t="n">
        <v>0.2525518946853726</v>
      </c>
      <c r="K75" s="153" t="n">
        <v>0.064355</v>
      </c>
      <c r="L75" s="153" t="n">
        <v>0.3337172942688553</v>
      </c>
      <c r="M75" s="153" t="n">
        <v>0.07202903288653364</v>
      </c>
      <c r="N75" s="154" t="n">
        <v>3.424681420420617</v>
      </c>
      <c r="O75" s="154" t="n">
        <v>0.6274825802759757</v>
      </c>
      <c r="P75" s="154" t="n">
        <v>9.292619746636165</v>
      </c>
      <c r="Q75" s="154" t="n">
        <v>15.8484938548917</v>
      </c>
      <c r="R75" s="154" t="n">
        <v>2.511722796665513</v>
      </c>
      <c r="S75" s="154" t="n">
        <v>40.906368724614</v>
      </c>
      <c r="T75" s="153" t="n">
        <v>-0.03026137966724612</v>
      </c>
      <c r="U75" s="153" t="n">
        <v>0.02956309714105125</v>
      </c>
      <c r="V75" s="153" t="n">
        <v>0.009885347371725476</v>
      </c>
      <c r="W75" s="153" t="n">
        <v>0.3000843333618992</v>
      </c>
      <c r="X75" s="153" t="n">
        <v>0.1005451426583689</v>
      </c>
      <c r="Y75" s="153" t="n">
        <v>0.5021504998959198</v>
      </c>
      <c r="Z75" s="153" t="n">
        <v>0.5021504998959198</v>
      </c>
      <c r="AA75" s="155" t="n">
        <v>0.03959100147644914</v>
      </c>
    </row>
    <row r="76" customFormat="1" s="140">
      <c r="A76" s="152" t="inlineStr">
        <is>
          <t>Retail (REITs)</t>
        </is>
      </c>
      <c r="B76" s="76" t="n">
        <v>123</v>
      </c>
      <c r="C76" s="153" t="n">
        <v>0.05323048543689321</v>
      </c>
      <c r="D76" s="153" t="n">
        <v>0.483741620722107</v>
      </c>
      <c r="E76" s="153" t="n">
        <v>0.04496131610719778</v>
      </c>
      <c r="F76" s="153" t="n">
        <v>0.04498192459975899</v>
      </c>
      <c r="G76" s="154" t="n">
        <v>0.6148047022774253</v>
      </c>
      <c r="H76" s="154" t="n">
        <v>0.9472021176371492</v>
      </c>
      <c r="I76" s="153" t="n">
        <v>0.09951565574054128</v>
      </c>
      <c r="J76" s="153" t="n">
        <v>0.1743212417775965</v>
      </c>
      <c r="K76" s="153" t="n">
        <v>0.058543</v>
      </c>
      <c r="L76" s="153" t="n">
        <v>0.4360024360960932</v>
      </c>
      <c r="M76" s="153" t="n">
        <v>0.0751885757202729</v>
      </c>
      <c r="N76" s="154" t="n">
        <v>0.09823803799271293</v>
      </c>
      <c r="O76" s="154" t="n">
        <v>12.06349426811648</v>
      </c>
      <c r="P76" s="154" t="n">
        <v>18.13747290703505</v>
      </c>
      <c r="Q76" s="154" t="n">
        <v>22.99722245254124</v>
      </c>
      <c r="R76" s="154" t="n">
        <v>1.168886234847035</v>
      </c>
      <c r="S76" s="154" t="n">
        <v>77.55700762936731</v>
      </c>
      <c r="T76" s="153" t="n">
        <v>-0.07144270536301826</v>
      </c>
      <c r="U76" s="153" t="n">
        <v>0.03464814731081944</v>
      </c>
      <c r="V76" s="153" t="n">
        <v>-0.03249446096351747</v>
      </c>
      <c r="W76" s="153" t="n">
        <v>-0.08525345732360946</v>
      </c>
      <c r="X76" s="153" t="n">
        <v>0.03561672473232392</v>
      </c>
      <c r="Y76" s="153" t="n">
        <v>1.651576864954773</v>
      </c>
      <c r="Z76" s="153" t="n">
        <v>1.651576864954773</v>
      </c>
      <c r="AA76" s="155" t="n">
        <v>0.4749556436009855</v>
      </c>
    </row>
    <row r="77" customFormat="1" s="140">
      <c r="A77" s="152" t="inlineStr">
        <is>
          <t>Retail (Special Lines)</t>
        </is>
      </c>
      <c r="B77" s="76" t="n">
        <v>639</v>
      </c>
      <c r="C77" s="153" t="n">
        <v>0.05191495238095242</v>
      </c>
      <c r="D77" s="153" t="n">
        <v>0.0504221790728843</v>
      </c>
      <c r="E77" s="153" t="n">
        <v>0.1175642615882613</v>
      </c>
      <c r="F77" s="153" t="n">
        <v>0.2521664274071431</v>
      </c>
      <c r="G77" s="154" t="n">
        <v>0.9807967289453277</v>
      </c>
      <c r="H77" s="154" t="n">
        <v>1.09064053926488</v>
      </c>
      <c r="I77" s="153" t="n">
        <v>0.1087100585668788</v>
      </c>
      <c r="J77" s="153" t="n">
        <v>0.3381580139068768</v>
      </c>
      <c r="K77" s="153" t="n">
        <v>0.064355</v>
      </c>
      <c r="L77" s="153" t="n">
        <v>0.2108868881121675</v>
      </c>
      <c r="M77" s="153" t="n">
        <v>0.0959198226703719</v>
      </c>
      <c r="N77" s="154" t="n">
        <v>2.689479741840242</v>
      </c>
      <c r="O77" s="154" t="n">
        <v>1.124117236951806</v>
      </c>
      <c r="P77" s="154" t="n">
        <v>11.71406075761</v>
      </c>
      <c r="Q77" s="154" t="n">
        <v>21.06523656154438</v>
      </c>
      <c r="R77" s="154" t="n">
        <v>3.575349088959423</v>
      </c>
      <c r="S77" s="154" t="n">
        <v>48.40369506380353</v>
      </c>
      <c r="T77" s="153" t="n">
        <v>0.061325245781905</v>
      </c>
      <c r="U77" s="153" t="n">
        <v>0.02260138146211083</v>
      </c>
      <c r="V77" s="153" t="n">
        <v>0.01017620710663522</v>
      </c>
      <c r="W77" s="153" t="n">
        <v>0.2224810524875703</v>
      </c>
      <c r="X77" s="153" t="n">
        <v>0.08228908811454383</v>
      </c>
      <c r="Y77" s="153" t="n">
        <v>0.7110192463684515</v>
      </c>
      <c r="Z77" s="153" t="n">
        <v>0.7110192463684515</v>
      </c>
      <c r="AA77" s="155" t="n">
        <v>0.05164689882435194</v>
      </c>
    </row>
    <row r="78" customFormat="1" s="140">
      <c r="A78" s="152" t="inlineStr">
        <is>
          <t>Rubber&amp; Tires</t>
        </is>
      </c>
      <c r="B78" s="76" t="n">
        <v>89</v>
      </c>
      <c r="C78" s="153" t="n">
        <v>0.05151014285714282</v>
      </c>
      <c r="D78" s="153" t="n">
        <v>0.08779744381418665</v>
      </c>
      <c r="E78" s="153" t="n">
        <v>0.08670171150271345</v>
      </c>
      <c r="F78" s="153" t="n">
        <v>0.2292593142857589</v>
      </c>
      <c r="G78" s="154" t="n">
        <v>0.8848772364010904</v>
      </c>
      <c r="H78" s="154" t="n">
        <v>1.044744213088216</v>
      </c>
      <c r="I78" s="153" t="n">
        <v>0.1057681040589547</v>
      </c>
      <c r="J78" s="153" t="n">
        <v>0.2690211904339668</v>
      </c>
      <c r="K78" s="153" t="n">
        <v>0.064355</v>
      </c>
      <c r="L78" s="153" t="n">
        <v>0.2980566073628179</v>
      </c>
      <c r="M78" s="153" t="n">
        <v>0.08856791593557689</v>
      </c>
      <c r="N78" s="154" t="n">
        <v>1.184235735394436</v>
      </c>
      <c r="O78" s="154" t="n">
        <v>1.028230573827389</v>
      </c>
      <c r="P78" s="154" t="n">
        <v>6.93788261890153</v>
      </c>
      <c r="Q78" s="154" t="n">
        <v>11.4483300274224</v>
      </c>
      <c r="R78" s="154" t="n">
        <v>1.250033082211968</v>
      </c>
      <c r="S78" s="154" t="n">
        <v>30.55131207043543</v>
      </c>
      <c r="T78" s="153" t="n">
        <v>0.2216524519276595</v>
      </c>
      <c r="U78" s="153" t="n">
        <v>0.06427069529051857</v>
      </c>
      <c r="V78" s="153" t="n">
        <v>0.04074201153955818</v>
      </c>
      <c r="W78" s="153" t="n">
        <v>0.7027237598756659</v>
      </c>
      <c r="X78" s="153" t="n">
        <v>0.09015662424350956</v>
      </c>
      <c r="Y78" s="153" t="n">
        <v>0.3694427150730166</v>
      </c>
      <c r="Z78" s="153" t="n">
        <v>0.3694427150730166</v>
      </c>
      <c r="AA78" s="155" t="n">
        <v>0.08840056336604127</v>
      </c>
    </row>
    <row r="79" customFormat="1" s="140">
      <c r="A79" s="152" t="inlineStr">
        <is>
          <t>Semiconductor</t>
        </is>
      </c>
      <c r="B79" s="76" t="n">
        <v>647</v>
      </c>
      <c r="C79" s="153" t="n">
        <v>0.05773729910714281</v>
      </c>
      <c r="D79" s="153" t="n">
        <v>0.1632268265394292</v>
      </c>
      <c r="E79" s="153" t="n">
        <v>0.1141655021630951</v>
      </c>
      <c r="F79" s="153" t="n">
        <v>0.1219918698079206</v>
      </c>
      <c r="G79" s="154" t="n">
        <v>1.667258562771839</v>
      </c>
      <c r="H79" s="154" t="n">
        <v>1.68225798622012</v>
      </c>
      <c r="I79" s="153" t="n">
        <v>0.1466327369167097</v>
      </c>
      <c r="J79" s="153" t="n">
        <v>0.3438195665674976</v>
      </c>
      <c r="K79" s="153" t="n">
        <v>0.064355</v>
      </c>
      <c r="L79" s="153" t="n">
        <v>0.07373440500180076</v>
      </c>
      <c r="M79" s="153" t="n">
        <v>0.1393645579633603</v>
      </c>
      <c r="N79" s="154" t="n">
        <v>0.7359665502599343</v>
      </c>
      <c r="O79" s="154" t="n">
        <v>6.325119047054971</v>
      </c>
      <c r="P79" s="154" t="n">
        <v>20.98105645501298</v>
      </c>
      <c r="Q79" s="154" t="n">
        <v>37.44856548929737</v>
      </c>
      <c r="R79" s="154" t="n">
        <v>5.049885172718242</v>
      </c>
      <c r="S79" s="154" t="n">
        <v>110.9653407444196</v>
      </c>
      <c r="T79" s="153" t="n">
        <v>0.1666210435199012</v>
      </c>
      <c r="U79" s="153" t="n">
        <v>0.2055251917648898</v>
      </c>
      <c r="V79" s="153" t="n">
        <v>0.114954137792054</v>
      </c>
      <c r="W79" s="153" t="n">
        <v>0.9343515564878393</v>
      </c>
      <c r="X79" s="153" t="n">
        <v>0.1267996099911117</v>
      </c>
      <c r="Y79" s="153" t="n">
        <v>0.5089241654655247</v>
      </c>
      <c r="Z79" s="153" t="n">
        <v>0.5089241654655247</v>
      </c>
      <c r="AA79" s="155" t="n">
        <v>0.167399033968792</v>
      </c>
    </row>
    <row r="80" customFormat="1" s="140">
      <c r="A80" s="152" t="inlineStr">
        <is>
          <t>Semiconductor Equip</t>
        </is>
      </c>
      <c r="B80" s="76" t="n">
        <v>367</v>
      </c>
      <c r="C80" s="153" t="n">
        <v>0.08230695312500008</v>
      </c>
      <c r="D80" s="153" t="n">
        <v>0.218242082676858</v>
      </c>
      <c r="E80" s="153" t="n">
        <v>0.2327666081844308</v>
      </c>
      <c r="F80" s="153" t="n">
        <v>0.1558017359669439</v>
      </c>
      <c r="G80" s="154" t="n">
        <v>1.965518756667748</v>
      </c>
      <c r="H80" s="154" t="n">
        <v>1.954453351917791</v>
      </c>
      <c r="I80" s="153" t="n">
        <v>0.1640804598579304</v>
      </c>
      <c r="J80" s="153" t="n">
        <v>0.3351128957237849</v>
      </c>
      <c r="K80" s="153" t="n">
        <v>0.064355</v>
      </c>
      <c r="L80" s="153" t="n">
        <v>0.05802381238635131</v>
      </c>
      <c r="M80" s="153" t="n">
        <v>0.1573485286816327</v>
      </c>
      <c r="N80" s="154" t="n">
        <v>1.181449752299555</v>
      </c>
      <c r="O80" s="154" t="n">
        <v>5.143673155108631</v>
      </c>
      <c r="P80" s="154" t="n">
        <v>19.31794683277508</v>
      </c>
      <c r="Q80" s="154" t="n">
        <v>23.20120671487221</v>
      </c>
      <c r="R80" s="154" t="n">
        <v>6.020479517171851</v>
      </c>
      <c r="S80" s="154" t="n">
        <v>53.5861384211724</v>
      </c>
      <c r="T80" s="153" t="n">
        <v>0.3106031314736257</v>
      </c>
      <c r="U80" s="153" t="n">
        <v>0.1052299160804292</v>
      </c>
      <c r="V80" s="153" t="n">
        <v>0.08208706213281047</v>
      </c>
      <c r="W80" s="153" t="n">
        <v>0.6056721166917812</v>
      </c>
      <c r="X80" s="153" t="n">
        <v>0.2629036594867055</v>
      </c>
      <c r="Y80" s="153" t="n">
        <v>0.2864346362981806</v>
      </c>
      <c r="Z80" s="153" t="n">
        <v>0.2864346362981806</v>
      </c>
      <c r="AA80" s="155" t="n">
        <v>0.2243213154038096</v>
      </c>
    </row>
    <row r="81" customFormat="1" s="140">
      <c r="A81" s="152" t="inlineStr">
        <is>
          <t>Shipbuilding &amp; Marine</t>
        </is>
      </c>
      <c r="B81" s="76" t="n">
        <v>348</v>
      </c>
      <c r="C81" s="153" t="n">
        <v>0.08735046762589933</v>
      </c>
      <c r="D81" s="153" t="n">
        <v>0.1722023090656734</v>
      </c>
      <c r="E81" s="153" t="n">
        <v>0.1114541536581069</v>
      </c>
      <c r="F81" s="153" t="n">
        <v>0.1325298022912518</v>
      </c>
      <c r="G81" s="154" t="n">
        <v>0.8631601762392295</v>
      </c>
      <c r="H81" s="154" t="n">
        <v>0.9453479455543985</v>
      </c>
      <c r="I81" s="153" t="n">
        <v>0.09939680331003695</v>
      </c>
      <c r="J81" s="153" t="n">
        <v>0.2986289983030764</v>
      </c>
      <c r="K81" s="153" t="n">
        <v>0.064355</v>
      </c>
      <c r="L81" s="153" t="n">
        <v>0.3086512244938419</v>
      </c>
      <c r="M81" s="153" t="n">
        <v>0.08355173302327901</v>
      </c>
      <c r="N81" s="154" t="n">
        <v>0.7506357359214945</v>
      </c>
      <c r="O81" s="154" t="n">
        <v>1.481203741928591</v>
      </c>
      <c r="P81" s="154" t="n">
        <v>6.117194368361089</v>
      </c>
      <c r="Q81" s="154" t="n">
        <v>8.446459201899357</v>
      </c>
      <c r="R81" s="154" t="n">
        <v>0.9527523070472026</v>
      </c>
      <c r="S81" s="154" t="n">
        <v>16.82060502870786</v>
      </c>
      <c r="T81" s="153" t="n">
        <v>-0.004882800633295612</v>
      </c>
      <c r="U81" s="153" t="n">
        <v>0.1079227311446079</v>
      </c>
      <c r="V81" s="153" t="n">
        <v>0.05447159926448495</v>
      </c>
      <c r="W81" s="153" t="n">
        <v>0.1540889710328401</v>
      </c>
      <c r="X81" s="153" t="n">
        <v>0.1364380193611244</v>
      </c>
      <c r="Y81" s="153" t="n">
        <v>0.9844363726578804</v>
      </c>
      <c r="Z81" s="153" t="n">
        <v>0.9844363726578804</v>
      </c>
      <c r="AA81" s="155" t="n">
        <v>0.172027422761295</v>
      </c>
    </row>
    <row r="82" customFormat="1" s="140">
      <c r="A82" s="152" t="inlineStr">
        <is>
          <t>Shoe</t>
        </is>
      </c>
      <c r="B82" s="76" t="n">
        <v>85</v>
      </c>
      <c r="C82" s="153" t="n">
        <v>-0.01577904761904763</v>
      </c>
      <c r="D82" s="153" t="n">
        <v>0.09681051066273834</v>
      </c>
      <c r="E82" s="153" t="n">
        <v>0.1568299261062974</v>
      </c>
      <c r="F82" s="153" t="n">
        <v>0.1893709368246368</v>
      </c>
      <c r="G82" s="154" t="n">
        <v>0.8721798577655784</v>
      </c>
      <c r="H82" s="154" t="n">
        <v>0.8997075382086068</v>
      </c>
      <c r="I82" s="153" t="n">
        <v>0.0964712531991717</v>
      </c>
      <c r="J82" s="153" t="n">
        <v>0.3172210900926428</v>
      </c>
      <c r="K82" s="153" t="n">
        <v>0.064355</v>
      </c>
      <c r="L82" s="153" t="n">
        <v>0.1100490187184809</v>
      </c>
      <c r="M82" s="153" t="n">
        <v>0.09114367684506282</v>
      </c>
      <c r="N82" s="154" t="n">
        <v>1.87883565697323</v>
      </c>
      <c r="O82" s="154" t="n">
        <v>2.268985980030847</v>
      </c>
      <c r="P82" s="154" t="n">
        <v>17.31159483718831</v>
      </c>
      <c r="Q82" s="154" t="n">
        <v>23.13867347238319</v>
      </c>
      <c r="R82" s="154" t="n">
        <v>4.84762627945505</v>
      </c>
      <c r="S82" s="154" t="n">
        <v>37.91823660764975</v>
      </c>
      <c r="T82" s="153" t="n">
        <v>0.1999959955890517</v>
      </c>
      <c r="U82" s="153" t="n">
        <v>0.0155448432405021</v>
      </c>
      <c r="V82" s="153" t="n">
        <v>-0.004839285759461369</v>
      </c>
      <c r="W82" s="153" t="n">
        <v>-0.1607689292093061</v>
      </c>
      <c r="X82" s="153" t="n">
        <v>0.1872800532654167</v>
      </c>
      <c r="Y82" s="153" t="n">
        <v>0.409713367577831</v>
      </c>
      <c r="Z82" s="153" t="n">
        <v>0.4097133675778311</v>
      </c>
      <c r="AA82" s="155" t="n">
        <v>0.09682900806840693</v>
      </c>
    </row>
    <row r="83" customFormat="1" s="140">
      <c r="A83" s="152" t="inlineStr">
        <is>
          <t>Software (Entertainment)</t>
        </is>
      </c>
      <c r="B83" s="76" t="n">
        <v>317</v>
      </c>
      <c r="C83" s="153" t="n">
        <v>0.09019086419753085</v>
      </c>
      <c r="D83" s="153" t="n">
        <v>0.2439749235622639</v>
      </c>
      <c r="E83" s="153" t="n">
        <v>0.1595809201629949</v>
      </c>
      <c r="F83" s="153" t="n">
        <v>0.1675854616952406</v>
      </c>
      <c r="G83" s="154" t="n">
        <v>1.355351975344898</v>
      </c>
      <c r="H83" s="154" t="n">
        <v>1.356775411126699</v>
      </c>
      <c r="I83" s="153" t="n">
        <v>0.1257693038532214</v>
      </c>
      <c r="J83" s="153" t="n">
        <v>0.4382090246503034</v>
      </c>
      <c r="K83" s="153" t="n">
        <v>0.064355</v>
      </c>
      <c r="L83" s="153" t="n">
        <v>0.04779771179104175</v>
      </c>
      <c r="M83" s="153" t="n">
        <v>0.1220549919526441</v>
      </c>
      <c r="N83" s="154" t="n">
        <v>0.7038722223983197</v>
      </c>
      <c r="O83" s="154" t="n">
        <v>5.604623076659679</v>
      </c>
      <c r="P83" s="154" t="n">
        <v>17.53946941514565</v>
      </c>
      <c r="Q83" s="154" t="n">
        <v>22.71377763385879</v>
      </c>
      <c r="R83" s="154" t="n">
        <v>5.141996709830743</v>
      </c>
      <c r="S83" s="154" t="n">
        <v>235.2071073525804</v>
      </c>
      <c r="T83" s="153" t="n">
        <v>0.01237984909365137</v>
      </c>
      <c r="U83" s="153" t="n">
        <v>0.1065748339106442</v>
      </c>
      <c r="V83" s="153" t="n">
        <v>0.06939299789868696</v>
      </c>
      <c r="W83" s="153" t="n">
        <v>0.4056523435520012</v>
      </c>
      <c r="X83" s="153" t="n">
        <v>0.2090210869344733</v>
      </c>
      <c r="Y83" s="153" t="n">
        <v>0.02740812671064199</v>
      </c>
      <c r="Z83" s="153" t="n">
        <v>0.02740812671064197</v>
      </c>
      <c r="AA83" s="155" t="n">
        <v>0.2539681337781789</v>
      </c>
    </row>
    <row r="84" customFormat="1" s="140">
      <c r="A84" s="152" t="inlineStr">
        <is>
          <t>Software (Internet)</t>
        </is>
      </c>
      <c r="B84" s="76" t="n">
        <v>151</v>
      </c>
      <c r="C84" s="153" t="n">
        <v>0.1233715151515151</v>
      </c>
      <c r="D84" s="153" t="n">
        <v>-0.0007929462693840948</v>
      </c>
      <c r="E84" s="153" t="n">
        <v>0.01307376934417888</v>
      </c>
      <c r="F84" s="153" t="n">
        <v>0.1952485735213275</v>
      </c>
      <c r="G84" s="154" t="n">
        <v>1.298774525993413</v>
      </c>
      <c r="H84" s="154" t="n">
        <v>1.361746137410607</v>
      </c>
      <c r="I84" s="153" t="n">
        <v>0.1260879274080199</v>
      </c>
      <c r="J84" s="153" t="n">
        <v>0.4698226412977678</v>
      </c>
      <c r="K84" s="153" t="n">
        <v>0.064355</v>
      </c>
      <c r="L84" s="153" t="n">
        <v>0.09975444577952966</v>
      </c>
      <c r="M84" s="153" t="n">
        <v>0.1183043260770035</v>
      </c>
      <c r="N84" s="154" t="n">
        <v>0.8787634525735458</v>
      </c>
      <c r="O84" s="154" t="n">
        <v>6.014836641489655</v>
      </c>
      <c r="P84" s="154" t="n">
        <v>20.43779506759383</v>
      </c>
      <c r="Q84" s="154" t="inlineStr">
        <is>
          <t>NA</t>
        </is>
      </c>
      <c r="R84" s="154" t="n">
        <v>7.966227226370065</v>
      </c>
      <c r="S84" s="154" t="n">
        <v>62.96786353390485</v>
      </c>
      <c r="T84" s="153" t="n">
        <v>0.05207557992689167</v>
      </c>
      <c r="U84" s="153" t="n">
        <v>0.05952822499084804</v>
      </c>
      <c r="V84" s="153" t="n">
        <v>0.03349517717879785</v>
      </c>
      <c r="W84" s="153" t="inlineStr">
        <is>
          <t>NA</t>
        </is>
      </c>
      <c r="X84" s="153" t="n">
        <v>-0.1000445714406943</v>
      </c>
      <c r="Y84" s="153" t="n">
        <v>0.003742653810663614</v>
      </c>
      <c r="Z84" s="153" t="n">
        <v>0.003742653810663632</v>
      </c>
      <c r="AA84" s="155" t="n">
        <v>0.01486668909850472</v>
      </c>
    </row>
    <row r="85" customFormat="1" s="140">
      <c r="A85" s="152" t="inlineStr">
        <is>
          <t>Software (System &amp; Application)</t>
        </is>
      </c>
      <c r="B85" s="76" t="n">
        <v>1616</v>
      </c>
      <c r="C85" s="153" t="n">
        <v>0.1431763163972287</v>
      </c>
      <c r="D85" s="153" t="n">
        <v>0.202451595217593</v>
      </c>
      <c r="E85" s="153" t="n">
        <v>0.1833583766081907</v>
      </c>
      <c r="F85" s="153" t="n">
        <v>0.1883512745615227</v>
      </c>
      <c r="G85" s="154" t="n">
        <v>1.285628844413828</v>
      </c>
      <c r="H85" s="154" t="n">
        <v>1.298989733922844</v>
      </c>
      <c r="I85" s="153" t="n">
        <v>0.1220652419444543</v>
      </c>
      <c r="J85" s="153" t="n">
        <v>0.4359142137619647</v>
      </c>
      <c r="K85" s="153" t="n">
        <v>0.064355</v>
      </c>
      <c r="L85" s="153" t="n">
        <v>0.05849855321588473</v>
      </c>
      <c r="M85" s="153" t="n">
        <v>0.1177360607288579</v>
      </c>
      <c r="N85" s="154" t="n">
        <v>0.9343146311452691</v>
      </c>
      <c r="O85" s="154" t="n">
        <v>9.202136032678627</v>
      </c>
      <c r="P85" s="154" t="n">
        <v>28.47741477249268</v>
      </c>
      <c r="Q85" s="154" t="n">
        <v>41.06942761789667</v>
      </c>
      <c r="R85" s="154" t="n">
        <v>9.152165527378902</v>
      </c>
      <c r="S85" s="154" t="n">
        <v>96.4295586161048</v>
      </c>
      <c r="T85" s="153" t="n">
        <v>0.1335332117963445</v>
      </c>
      <c r="U85" s="153" t="n">
        <v>0.07233864732673151</v>
      </c>
      <c r="V85" s="153" t="n">
        <v>0.05885835272308935</v>
      </c>
      <c r="W85" s="153" t="n">
        <v>0.476301016566154</v>
      </c>
      <c r="X85" s="153" t="n">
        <v>0.1695709529720074</v>
      </c>
      <c r="Y85" s="153" t="n">
        <v>0.3289132253967321</v>
      </c>
      <c r="Z85" s="153" t="n">
        <v>0.3289132253967321</v>
      </c>
      <c r="AA85" s="155" t="n">
        <v>0.2128494752540537</v>
      </c>
    </row>
    <row r="86" customFormat="1" s="140">
      <c r="A86" s="152" t="inlineStr">
        <is>
          <t>Steel</t>
        </is>
      </c>
      <c r="B86" s="76" t="n">
        <v>718</v>
      </c>
      <c r="C86" s="153" t="n">
        <v>0.08987769376181495</v>
      </c>
      <c r="D86" s="153" t="n">
        <v>0.07188270996116729</v>
      </c>
      <c r="E86" s="153" t="n">
        <v>0.090490646917453</v>
      </c>
      <c r="F86" s="153" t="n">
        <v>0.2041089242342241</v>
      </c>
      <c r="G86" s="154" t="n">
        <v>1.006786675768851</v>
      </c>
      <c r="H86" s="154" t="n">
        <v>1.165151057410711</v>
      </c>
      <c r="I86" s="153" t="n">
        <v>0.1134861827800266</v>
      </c>
      <c r="J86" s="153" t="n">
        <v>0.3268420634689972</v>
      </c>
      <c r="K86" s="153" t="n">
        <v>0.064355</v>
      </c>
      <c r="L86" s="153" t="n">
        <v>0.292823079863443</v>
      </c>
      <c r="M86" s="153" t="n">
        <v>0.0943279783811177</v>
      </c>
      <c r="N86" s="154" t="n">
        <v>1.456943169009707</v>
      </c>
      <c r="O86" s="154" t="n">
        <v>0.8234515222700469</v>
      </c>
      <c r="P86" s="154" t="n">
        <v>6.896510713908435</v>
      </c>
      <c r="Q86" s="154" t="n">
        <v>10.90234290009453</v>
      </c>
      <c r="R86" s="154" t="n">
        <v>1.144103670996687</v>
      </c>
      <c r="S86" s="154" t="n">
        <v>42.97637774132421</v>
      </c>
      <c r="T86" s="153" t="n">
        <v>0.146363973647027</v>
      </c>
      <c r="U86" s="153" t="n">
        <v>0.06046124169077852</v>
      </c>
      <c r="V86" s="153" t="n">
        <v>0.03835553927754493</v>
      </c>
      <c r="W86" s="153" t="n">
        <v>0.5365682468211639</v>
      </c>
      <c r="X86" s="153" t="n">
        <v>0.0001014948715317855</v>
      </c>
      <c r="Y86" s="153" t="n">
        <v>0.5075703862611378</v>
      </c>
      <c r="Z86" s="153" t="n">
        <v>0.5075703862611378</v>
      </c>
      <c r="AA86" s="155" t="n">
        <v>0.07221629768650165</v>
      </c>
    </row>
    <row r="87" customFormat="1" s="140">
      <c r="A87" s="152" t="inlineStr">
        <is>
          <t>Telecom (Wireless)</t>
        </is>
      </c>
      <c r="B87" s="76" t="n">
        <v>98</v>
      </c>
      <c r="C87" s="153" t="n">
        <v>0.05890987341772149</v>
      </c>
      <c r="D87" s="153" t="n">
        <v>0.1460132496909813</v>
      </c>
      <c r="E87" s="153" t="n">
        <v>0.08308394526497122</v>
      </c>
      <c r="F87" s="153" t="n">
        <v>0.2235279559187057</v>
      </c>
      <c r="G87" s="154" t="n">
        <v>0.6530666984464211</v>
      </c>
      <c r="H87" s="154" t="n">
        <v>0.8970271627332164</v>
      </c>
      <c r="I87" s="153" t="n">
        <v>0.09629944113119918</v>
      </c>
      <c r="J87" s="153" t="n">
        <v>0.2926871518037887</v>
      </c>
      <c r="K87" s="153" t="n">
        <v>0.064355</v>
      </c>
      <c r="L87" s="153" t="n">
        <v>0.400426593178951</v>
      </c>
      <c r="M87" s="153" t="n">
        <v>0.07698321179612679</v>
      </c>
      <c r="N87" s="154" t="n">
        <v>0.7055913479848429</v>
      </c>
      <c r="O87" s="154" t="n">
        <v>2.252157300034889</v>
      </c>
      <c r="P87" s="154" t="n">
        <v>7.365821522632574</v>
      </c>
      <c r="Q87" s="154" t="n">
        <v>15.63639862368211</v>
      </c>
      <c r="R87" s="154" t="n">
        <v>1.539671179402861</v>
      </c>
      <c r="S87" s="154" t="n">
        <v>33.14019231705149</v>
      </c>
      <c r="T87" s="153" t="n">
        <v>-0.1370213066168839</v>
      </c>
      <c r="U87" s="153" t="n">
        <v>0.152332531395948</v>
      </c>
      <c r="V87" s="153" t="n">
        <v>0.01560050416724069</v>
      </c>
      <c r="W87" s="153" t="n">
        <v>0.3050583637784974</v>
      </c>
      <c r="X87" s="153" t="n">
        <v>0.08181796535473861</v>
      </c>
      <c r="Y87" s="153" t="n">
        <v>0.7358141070495954</v>
      </c>
      <c r="Z87" s="153" t="n">
        <v>0.7358141070495954</v>
      </c>
      <c r="AA87" s="155" t="n">
        <v>0.1432744818082428</v>
      </c>
    </row>
    <row r="88" customFormat="1" s="140">
      <c r="A88" s="152" t="inlineStr">
        <is>
          <t>Telecom. Equipment</t>
        </is>
      </c>
      <c r="B88" s="76" t="n">
        <v>453</v>
      </c>
      <c r="C88" s="153" t="n">
        <v>0.04597224324324331</v>
      </c>
      <c r="D88" s="153" t="n">
        <v>0.1099696357568387</v>
      </c>
      <c r="E88" s="153" t="n">
        <v>0.1362119863769908</v>
      </c>
      <c r="F88" s="153" t="n">
        <v>0.1478267622747538</v>
      </c>
      <c r="G88" s="154" t="n">
        <v>1.174466867768868</v>
      </c>
      <c r="H88" s="154" t="n">
        <v>1.185716234992941</v>
      </c>
      <c r="I88" s="153" t="n">
        <v>0.1148044106630475</v>
      </c>
      <c r="J88" s="153" t="n">
        <v>0.3612115231550765</v>
      </c>
      <c r="K88" s="153" t="n">
        <v>0.064355</v>
      </c>
      <c r="L88" s="153" t="n">
        <v>0.1142283270036728</v>
      </c>
      <c r="M88" s="153" t="n">
        <v>0.1071803441638562</v>
      </c>
      <c r="N88" s="154" t="n">
        <v>1.262105343318189</v>
      </c>
      <c r="O88" s="154" t="n">
        <v>2.318055180202266</v>
      </c>
      <c r="P88" s="154" t="n">
        <v>14.28087731697269</v>
      </c>
      <c r="Q88" s="154" t="n">
        <v>19.41242551940865</v>
      </c>
      <c r="R88" s="154" t="n">
        <v>3.456420175753876</v>
      </c>
      <c r="S88" s="154" t="n">
        <v>120.3162423275964</v>
      </c>
      <c r="T88" s="153" t="n">
        <v>0.2467526994732748</v>
      </c>
      <c r="U88" s="153" t="n">
        <v>0.0315877520262178</v>
      </c>
      <c r="V88" s="153" t="n">
        <v>0.02561034135214805</v>
      </c>
      <c r="W88" s="153" t="n">
        <v>0.5362424352475739</v>
      </c>
      <c r="X88" s="153" t="n">
        <v>0.1293547747022163</v>
      </c>
      <c r="Y88" s="153" t="n">
        <v>0.5328168427334832</v>
      </c>
      <c r="Z88" s="153" t="n">
        <v>0.5328168427334832</v>
      </c>
      <c r="AA88" s="155" t="n">
        <v>0.1166647511652271</v>
      </c>
    </row>
    <row r="89" customFormat="1" s="140">
      <c r="A89" s="152" t="inlineStr">
        <is>
          <t>Telecom. Services</t>
        </is>
      </c>
      <c r="B89" s="76" t="n">
        <v>288</v>
      </c>
      <c r="C89" s="153" t="n">
        <v>0.08399032558139537</v>
      </c>
      <c r="D89" s="153" t="n">
        <v>0.1546525072464249</v>
      </c>
      <c r="E89" s="153" t="n">
        <v>0.09502129852429432</v>
      </c>
      <c r="F89" s="153" t="n">
        <v>0.2184746828503643</v>
      </c>
      <c r="G89" s="154" t="n">
        <v>0.5438076589308493</v>
      </c>
      <c r="H89" s="154" t="n">
        <v>0.849373944269902</v>
      </c>
      <c r="I89" s="153" t="n">
        <v>0.09324486982770072</v>
      </c>
      <c r="J89" s="153" t="n">
        <v>0.3013188613936473</v>
      </c>
      <c r="K89" s="153" t="n">
        <v>0.064355</v>
      </c>
      <c r="L89" s="153" t="n">
        <v>0.4567224046170272</v>
      </c>
      <c r="M89" s="153" t="n">
        <v>0.07260807083852094</v>
      </c>
      <c r="N89" s="154" t="n">
        <v>0.7033661156283548</v>
      </c>
      <c r="O89" s="154" t="n">
        <v>2.162779031815059</v>
      </c>
      <c r="P89" s="154" t="n">
        <v>6.878261732396511</v>
      </c>
      <c r="Q89" s="154" t="n">
        <v>13.87123121304074</v>
      </c>
      <c r="R89" s="154" t="n">
        <v>1.380570449880214</v>
      </c>
      <c r="S89" s="154" t="n">
        <v>41.98795662250696</v>
      </c>
      <c r="T89" s="153" t="n">
        <v>-0.002267340040347312</v>
      </c>
      <c r="U89" s="153" t="n">
        <v>0.1474304776645122</v>
      </c>
      <c r="V89" s="153" t="n">
        <v>-0.01408519289905925</v>
      </c>
      <c r="W89" s="153" t="n">
        <v>-0.03284303950215006</v>
      </c>
      <c r="X89" s="153" t="n">
        <v>0.07796582503414896</v>
      </c>
      <c r="Y89" s="153" t="n">
        <v>0.8972629293469931</v>
      </c>
      <c r="Z89" s="153" t="n">
        <v>0.8972629293469931</v>
      </c>
      <c r="AA89" s="155" t="n">
        <v>0.1557227659330495</v>
      </c>
    </row>
    <row r="90" customFormat="1" s="140">
      <c r="A90" s="152" t="inlineStr">
        <is>
          <t>Tobacco</t>
        </is>
      </c>
      <c r="B90" s="76" t="n">
        <v>56</v>
      </c>
      <c r="C90" s="153" t="n">
        <v>0.1727763157894737</v>
      </c>
      <c r="D90" s="153" t="n">
        <v>0.3376451116878545</v>
      </c>
      <c r="E90" s="153" t="n">
        <v>0.2317172499620749</v>
      </c>
      <c r="F90" s="153" t="n">
        <v>0.2244021922465821</v>
      </c>
      <c r="G90" s="154" t="n">
        <v>0.5533516641188336</v>
      </c>
      <c r="H90" s="154" t="n">
        <v>0.6668153472871898</v>
      </c>
      <c r="I90" s="153" t="n">
        <v>0.08154286376110886</v>
      </c>
      <c r="J90" s="153" t="n">
        <v>0.3121589574705544</v>
      </c>
      <c r="K90" s="153" t="n">
        <v>0.064355</v>
      </c>
      <c r="L90" s="153" t="n">
        <v>0.2486214464550604</v>
      </c>
      <c r="M90" s="153" t="n">
        <v>0.07321838380849845</v>
      </c>
      <c r="N90" s="154" t="n">
        <v>0.8277635948646112</v>
      </c>
      <c r="O90" s="154" t="n">
        <v>3.466057876070821</v>
      </c>
      <c r="P90" s="154" t="n">
        <v>9.334613473587154</v>
      </c>
      <c r="Q90" s="154" t="n">
        <v>10.23405906734787</v>
      </c>
      <c r="R90" s="154" t="n">
        <v>3.165594026107247</v>
      </c>
      <c r="S90" s="154" t="n">
        <v>32.34526176009394</v>
      </c>
      <c r="T90" s="153" t="n">
        <v>0.1605576329466081</v>
      </c>
      <c r="U90" s="153" t="n">
        <v>0.02794388268079599</v>
      </c>
      <c r="V90" s="153" t="n">
        <v>0.1222840283610658</v>
      </c>
      <c r="W90" s="153" t="n">
        <v>0.547914256652139</v>
      </c>
      <c r="X90" s="153" t="n">
        <v>0.2843144747366176</v>
      </c>
      <c r="Y90" s="153" t="n">
        <v>0.716732955566358</v>
      </c>
      <c r="Z90" s="153" t="n">
        <v>0.716732955566358</v>
      </c>
      <c r="AA90" s="155" t="n">
        <v>0.3388030614931572</v>
      </c>
    </row>
    <row r="91" customFormat="1" s="140">
      <c r="A91" s="152" t="inlineStr">
        <is>
          <t>Transportation</t>
        </is>
      </c>
      <c r="B91" s="76" t="n">
        <v>814</v>
      </c>
      <c r="C91" s="153" t="n">
        <v>0.06881982986767489</v>
      </c>
      <c r="D91" s="153" t="n">
        <v>0.08172968114217403</v>
      </c>
      <c r="E91" s="153" t="n">
        <v>0.1109413850434691</v>
      </c>
      <c r="F91" s="153" t="n">
        <v>0.2321761753893829</v>
      </c>
      <c r="G91" s="154" t="n">
        <v>0.8345983237200922</v>
      </c>
      <c r="H91" s="154" t="n">
        <v>0.9615040171575606</v>
      </c>
      <c r="I91" s="153" t="n">
        <v>0.1004324074997996</v>
      </c>
      <c r="J91" s="153" t="n">
        <v>0.3382875462291594</v>
      </c>
      <c r="K91" s="153" t="n">
        <v>0.064355</v>
      </c>
      <c r="L91" s="153" t="n">
        <v>0.2339805528377989</v>
      </c>
      <c r="M91" s="153" t="n">
        <v>0.08817835610944363</v>
      </c>
      <c r="N91" s="154" t="n">
        <v>1.570216112255368</v>
      </c>
      <c r="O91" s="154" t="n">
        <v>1.751005607196694</v>
      </c>
      <c r="P91" s="154" t="n">
        <v>13.09515781092939</v>
      </c>
      <c r="Q91" s="154" t="n">
        <v>20.73464754699225</v>
      </c>
      <c r="R91" s="154" t="n">
        <v>2.979508522501709</v>
      </c>
      <c r="S91" s="154" t="n">
        <v>67.81891717804076</v>
      </c>
      <c r="T91" s="153" t="n">
        <v>0.0416847704192509</v>
      </c>
      <c r="U91" s="153" t="n">
        <v>0.04791508211175852</v>
      </c>
      <c r="V91" s="153" t="n">
        <v>0.01792710625843731</v>
      </c>
      <c r="W91" s="153" t="n">
        <v>0.2674253567362976</v>
      </c>
      <c r="X91" s="153" t="n">
        <v>0.1366997880803795</v>
      </c>
      <c r="Y91" s="153" t="n">
        <v>0.7069454611019078</v>
      </c>
      <c r="Z91" s="153" t="n">
        <v>0.7069454611019078</v>
      </c>
      <c r="AA91" s="155" t="n">
        <v>0.08254414657735706</v>
      </c>
    </row>
    <row r="92" customFormat="1" s="140">
      <c r="A92" s="152" t="inlineStr">
        <is>
          <t>Transportation (Railroads)</t>
        </is>
      </c>
      <c r="B92" s="76" t="n">
        <v>49</v>
      </c>
      <c r="C92" s="153" t="n">
        <v>-0.003088571428571428</v>
      </c>
      <c r="D92" s="153" t="n">
        <v>0.2149814472624476</v>
      </c>
      <c r="E92" s="153" t="n">
        <v>0.06911956076890322</v>
      </c>
      <c r="F92" s="153" t="n">
        <v>0.245050703913184</v>
      </c>
      <c r="G92" s="154" t="n">
        <v>0.4977481748689128</v>
      </c>
      <c r="H92" s="154" t="n">
        <v>0.6287330139602277</v>
      </c>
      <c r="I92" s="153" t="n">
        <v>0.0791017861948506</v>
      </c>
      <c r="J92" s="153" t="n">
        <v>0.1925517420182543</v>
      </c>
      <c r="K92" s="153" t="n">
        <v>0.058543</v>
      </c>
      <c r="L92" s="153" t="n">
        <v>0.2963758386366956</v>
      </c>
      <c r="M92" s="153" t="n">
        <v>0.06861545367636403</v>
      </c>
      <c r="N92" s="154" t="n">
        <v>0.4178290281081214</v>
      </c>
      <c r="O92" s="154" t="n">
        <v>4.330807666885992</v>
      </c>
      <c r="P92" s="154" t="n">
        <v>13.31239953697374</v>
      </c>
      <c r="Q92" s="154" t="n">
        <v>19.99149807548135</v>
      </c>
      <c r="R92" s="154" t="n">
        <v>2.364619435710157</v>
      </c>
      <c r="S92" s="154" t="n">
        <v>54.74120388067776</v>
      </c>
      <c r="T92" s="153" t="n">
        <v>0.05750694818191757</v>
      </c>
      <c r="U92" s="153" t="n">
        <v>0.1577775269223582</v>
      </c>
      <c r="V92" s="153" t="n">
        <v>0.09369508542243195</v>
      </c>
      <c r="W92" s="153" t="n">
        <v>0.5999807472548989</v>
      </c>
      <c r="X92" s="153" t="n">
        <v>0.1184748009554291</v>
      </c>
      <c r="Y92" s="153" t="n">
        <v>0.4004690295897596</v>
      </c>
      <c r="Z92" s="153" t="n">
        <v>0.4004690295897596</v>
      </c>
      <c r="AA92" s="155" t="n">
        <v>0.2154336812393464</v>
      </c>
    </row>
    <row r="93" customFormat="1" s="140">
      <c r="A93" s="152" t="inlineStr">
        <is>
          <t>Trucking</t>
        </is>
      </c>
      <c r="B93" s="76" t="n">
        <v>106</v>
      </c>
      <c r="C93" s="153" t="n">
        <v>0.0302128205128205</v>
      </c>
      <c r="D93" s="153" t="n">
        <v>0.08600260208420525</v>
      </c>
      <c r="E93" s="153" t="n">
        <v>0.1160109513324305</v>
      </c>
      <c r="F93" s="153" t="n">
        <v>0.2576812815542904</v>
      </c>
      <c r="G93" s="154" t="n">
        <v>0.8685544613027367</v>
      </c>
      <c r="H93" s="154" t="n">
        <v>1.014247113846068</v>
      </c>
      <c r="I93" s="153" t="n">
        <v>0.103813239997533</v>
      </c>
      <c r="J93" s="153" t="n">
        <v>0.2911515050298223</v>
      </c>
      <c r="K93" s="153" t="n">
        <v>0.064355</v>
      </c>
      <c r="L93" s="153" t="n">
        <v>0.2228508736235762</v>
      </c>
      <c r="M93" s="153" t="n">
        <v>0.09138865173191216</v>
      </c>
      <c r="N93" s="154" t="n">
        <v>1.660890178515987</v>
      </c>
      <c r="O93" s="154" t="n">
        <v>1.585822613371617</v>
      </c>
      <c r="P93" s="154" t="n">
        <v>9.975911701096045</v>
      </c>
      <c r="Q93" s="154" t="n">
        <v>17.98415751057641</v>
      </c>
      <c r="R93" s="154" t="n">
        <v>2.856084531678257</v>
      </c>
      <c r="S93" s="154" t="n">
        <v>27.97846561265118</v>
      </c>
      <c r="T93" s="153" t="n">
        <v>0.06887580582714127</v>
      </c>
      <c r="U93" s="153" t="n">
        <v>0.114403062071503</v>
      </c>
      <c r="V93" s="153" t="n">
        <v>0.07090628877170083</v>
      </c>
      <c r="W93" s="153" t="n">
        <v>1.053426876984243</v>
      </c>
      <c r="X93" s="153" t="n">
        <v>0.1202069372719015</v>
      </c>
      <c r="Y93" s="153" t="n">
        <v>0.2066633894377332</v>
      </c>
      <c r="Z93" s="153" t="n">
        <v>0.2066633894377332</v>
      </c>
      <c r="AA93" s="155" t="n">
        <v>0.08756853622132453</v>
      </c>
    </row>
    <row r="94" customFormat="1" s="140">
      <c r="A94" s="152" t="inlineStr">
        <is>
          <t>Utility (General)</t>
        </is>
      </c>
      <c r="B94" s="76" t="n">
        <v>50</v>
      </c>
      <c r="C94" s="153" t="n">
        <v>0.07822044444444444</v>
      </c>
      <c r="D94" s="153" t="n">
        <v>0.1226477130898772</v>
      </c>
      <c r="E94" s="153" t="n">
        <v>0.08320329489198378</v>
      </c>
      <c r="F94" s="153" t="n">
        <v>0.2020099879591491</v>
      </c>
      <c r="G94" s="154" t="n">
        <v>0.450628600024159</v>
      </c>
      <c r="H94" s="154" t="n">
        <v>0.6833212006287832</v>
      </c>
      <c r="I94" s="153" t="n">
        <v>0.08260088896030501</v>
      </c>
      <c r="J94" s="153" t="n">
        <v>0.1849321954265819</v>
      </c>
      <c r="K94" s="153" t="n">
        <v>0.058543</v>
      </c>
      <c r="L94" s="153" t="n">
        <v>0.4448745696058083</v>
      </c>
      <c r="M94" s="153" t="n">
        <v>0.0653037312471858</v>
      </c>
      <c r="N94" s="154" t="n">
        <v>0.8126579164565683</v>
      </c>
      <c r="O94" s="154" t="n">
        <v>1.877488961487325</v>
      </c>
      <c r="P94" s="154" t="n">
        <v>9.857640046481391</v>
      </c>
      <c r="Q94" s="154" t="n">
        <v>15.28891440825529</v>
      </c>
      <c r="R94" s="154" t="n">
        <v>1.615489714297475</v>
      </c>
      <c r="S94" s="154" t="n">
        <v>20.35742084554553</v>
      </c>
      <c r="T94" s="153" t="n">
        <v>-0.005972675226400898</v>
      </c>
      <c r="U94" s="153" t="n">
        <v>0.1420647024034475</v>
      </c>
      <c r="V94" s="153" t="n">
        <v>0.07747021353128755</v>
      </c>
      <c r="W94" s="153" t="n">
        <v>0.7842162740133918</v>
      </c>
      <c r="X94" s="153" t="n">
        <v>0.1061448187816614</v>
      </c>
      <c r="Y94" s="153" t="n">
        <v>0.6670336160874529</v>
      </c>
      <c r="Z94" s="153" t="n">
        <v>0.6670336160874529</v>
      </c>
      <c r="AA94" s="155" t="n">
        <v>0.1223664540072941</v>
      </c>
    </row>
    <row r="95" customFormat="1" s="140">
      <c r="A95" s="152" t="inlineStr">
        <is>
          <t>Utility (Water)</t>
        </is>
      </c>
      <c r="B95" s="76" t="n">
        <v>102</v>
      </c>
      <c r="C95" s="153" t="n">
        <v>0.06432012658227849</v>
      </c>
      <c r="D95" s="153" t="n">
        <v>0.2326869462375014</v>
      </c>
      <c r="E95" s="153" t="n">
        <v>0.06233778435011253</v>
      </c>
      <c r="F95" s="153" t="n">
        <v>0.1978567509556368</v>
      </c>
      <c r="G95" s="154" t="n">
        <v>0.4274749642866796</v>
      </c>
      <c r="H95" s="154" t="n">
        <v>0.6700706237217015</v>
      </c>
      <c r="I95" s="153" t="n">
        <v>0.08175152698056107</v>
      </c>
      <c r="J95" s="153" t="n">
        <v>0.2363824550771299</v>
      </c>
      <c r="K95" s="153" t="n">
        <v>0.058543</v>
      </c>
      <c r="L95" s="153" t="n">
        <v>0.4644139689303642</v>
      </c>
      <c r="M95" s="153" t="n">
        <v>0.0640891139083728</v>
      </c>
      <c r="N95" s="154" t="n">
        <v>0.3119183202870754</v>
      </c>
      <c r="O95" s="154" t="n">
        <v>4.586730603072259</v>
      </c>
      <c r="P95" s="154" t="n">
        <v>12.67174729757729</v>
      </c>
      <c r="Q95" s="154" t="n">
        <v>19.57400783851767</v>
      </c>
      <c r="R95" s="154" t="n">
        <v>1.475810384688088</v>
      </c>
      <c r="S95" s="154" t="n">
        <v>26.68956120883452</v>
      </c>
      <c r="T95" s="153" t="n">
        <v>0.07351491716518976</v>
      </c>
      <c r="U95" s="153" t="n">
        <v>0.2267281010136338</v>
      </c>
      <c r="V95" s="153" t="n">
        <v>0.1157283775757966</v>
      </c>
      <c r="W95" s="153" t="n">
        <v>0.9624500898653519</v>
      </c>
      <c r="X95" s="153" t="n">
        <v>0.008643179175213485</v>
      </c>
      <c r="Y95" s="153" t="n">
        <v>0.8329098960481565</v>
      </c>
      <c r="Z95" s="153" t="n">
        <v>0.4671043606040068</v>
      </c>
      <c r="AA95" s="155" t="n">
        <v>0.2325428955333194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A3" sqref="A3:T97"/>
    </sheetView>
  </sheetViews>
  <sheetFormatPr baseColWidth="10" defaultRowHeight="13"/>
  <cols>
    <col width="41" customWidth="1" min="1" max="1"/>
    <col width="14.83203125" customWidth="1" min="3" max="18"/>
  </cols>
  <sheetData>
    <row r="1" ht="16" customFormat="1" customHeight="1" s="2">
      <c r="A1" s="390" t="n"/>
      <c r="B1" s="156" t="n"/>
      <c r="C1" s="605" t="inlineStr">
        <is>
          <t>Revenue Growth Rate = Last 3 years</t>
        </is>
      </c>
      <c r="D1" s="662" t="n"/>
      <c r="E1" s="662" t="n"/>
      <c r="F1" s="605" t="inlineStr">
        <is>
          <t>Pre-tax Operating Margin</t>
        </is>
      </c>
      <c r="G1" s="662" t="n"/>
      <c r="H1" s="662" t="n"/>
      <c r="I1" s="606" t="inlineStr">
        <is>
          <t>Sales to Invested Capital</t>
        </is>
      </c>
      <c r="J1" s="662" t="n"/>
      <c r="K1" s="662" t="n"/>
      <c r="L1" s="605" t="inlineStr">
        <is>
          <t>Cost of Capital</t>
        </is>
      </c>
      <c r="M1" s="662" t="n"/>
      <c r="N1" s="662" t="n"/>
      <c r="O1" s="156" t="inlineStr">
        <is>
          <t>Beta</t>
        </is>
      </c>
      <c r="P1" s="605" t="inlineStr">
        <is>
          <t>Debt to Capital Ratio</t>
        </is>
      </c>
      <c r="Q1" s="662" t="n"/>
      <c r="R1" s="662" t="n"/>
    </row>
    <row r="2" ht="17" customHeight="1">
      <c r="A2" s="388" t="inlineStr">
        <is>
          <t>Industry Group</t>
        </is>
      </c>
      <c r="B2" s="389" t="inlineStr">
        <is>
          <t>count</t>
        </is>
      </c>
      <c r="C2" s="389" t="inlineStr">
        <is>
          <t>First Quartlie</t>
        </is>
      </c>
      <c r="D2" s="389" t="inlineStr">
        <is>
          <t>Median</t>
        </is>
      </c>
      <c r="E2" s="389" t="inlineStr">
        <is>
          <t>Third Quartile</t>
        </is>
      </c>
      <c r="F2" s="389" t="inlineStr">
        <is>
          <t>First Quartlie</t>
        </is>
      </c>
      <c r="G2" s="389" t="inlineStr">
        <is>
          <t>Median</t>
        </is>
      </c>
      <c r="H2" s="389" t="inlineStr">
        <is>
          <t>Third Quartile</t>
        </is>
      </c>
      <c r="I2" s="389" t="inlineStr">
        <is>
          <t>First Quartlie</t>
        </is>
      </c>
      <c r="J2" s="389" t="inlineStr">
        <is>
          <t>Median</t>
        </is>
      </c>
      <c r="K2" s="389" t="inlineStr">
        <is>
          <t>Third Quartile</t>
        </is>
      </c>
      <c r="L2" s="389" t="inlineStr">
        <is>
          <t>First Quartlie</t>
        </is>
      </c>
      <c r="M2" s="389" t="inlineStr">
        <is>
          <t>Median</t>
        </is>
      </c>
      <c r="N2" s="389" t="inlineStr">
        <is>
          <t>Third Quartile</t>
        </is>
      </c>
      <c r="O2" s="389" t="inlineStr">
        <is>
          <t>median(Beta)</t>
        </is>
      </c>
      <c r="P2" s="389" t="inlineStr">
        <is>
          <t>First Quartlie</t>
        </is>
      </c>
      <c r="Q2" s="389" t="inlineStr">
        <is>
          <t>Median</t>
        </is>
      </c>
      <c r="R2" s="389" t="inlineStr">
        <is>
          <t>Third Quartile</t>
        </is>
      </c>
    </row>
    <row r="3">
      <c r="A3" s="442" t="inlineStr">
        <is>
          <t>Advertising</t>
        </is>
      </c>
      <c r="B3" s="443" t="n">
        <v>391</v>
      </c>
      <c r="C3" s="444" t="n">
        <v>-0.0227</v>
      </c>
      <c r="D3" s="444" t="n">
        <v>0.07930000000000001</v>
      </c>
      <c r="E3" s="444" t="n">
        <v>0.207</v>
      </c>
      <c r="F3" s="444" t="n">
        <v>-0.05163398692810457</v>
      </c>
      <c r="G3" s="444" t="n">
        <v>0.03511904761904762</v>
      </c>
      <c r="H3" s="444" t="n">
        <v>0.09870828848223898</v>
      </c>
      <c r="I3" s="445" t="n">
        <v>1.39654463183875</v>
      </c>
      <c r="J3" s="445" t="n">
        <v>3.16931982633864</v>
      </c>
      <c r="K3" s="445" t="n">
        <v>6.793893129770994</v>
      </c>
      <c r="L3" s="763" t="n">
        <v>0.09836891315438587</v>
      </c>
      <c r="M3" s="763" t="n">
        <v>0.1051764252570819</v>
      </c>
      <c r="N3" s="763" t="n">
        <v>0.1073344164058349</v>
      </c>
      <c r="O3" s="445" t="n">
        <v>0.6440464534599691</v>
      </c>
      <c r="P3" s="445" t="n">
        <v>1.203144563302701</v>
      </c>
      <c r="Q3" s="445" t="n">
        <v>1.825686817107774</v>
      </c>
      <c r="R3" s="763" t="n">
        <v>0.00872595906050147</v>
      </c>
      <c r="S3" s="763" t="n">
        <v>0.09155285786545272</v>
      </c>
      <c r="T3" s="763" t="n">
        <v>0.2810652842279661</v>
      </c>
    </row>
    <row r="4">
      <c r="A4" s="442" t="inlineStr">
        <is>
          <t>Aerospace/Defense</t>
        </is>
      </c>
      <c r="B4" s="443" t="n">
        <v>289</v>
      </c>
      <c r="C4" s="444" t="n">
        <v>0.00268</v>
      </c>
      <c r="D4" s="444" t="n">
        <v>0.0613</v>
      </c>
      <c r="E4" s="444" t="n">
        <v>0.167</v>
      </c>
      <c r="F4" s="444" t="n">
        <v>-0.06331694441331505</v>
      </c>
      <c r="G4" s="444" t="n">
        <v>0.05947497949138638</v>
      </c>
      <c r="H4" s="444" t="n">
        <v>0.1221449851042701</v>
      </c>
      <c r="I4" s="445" t="n">
        <v>0.5795037109228578</v>
      </c>
      <c r="J4" s="445" t="n">
        <v>1.216206735294645</v>
      </c>
      <c r="K4" s="445" t="n">
        <v>2.17357310398749</v>
      </c>
      <c r="L4" s="763" t="n">
        <v>0.07927123819983303</v>
      </c>
      <c r="M4" s="763" t="n">
        <v>0.08585980694651799</v>
      </c>
      <c r="N4" s="763" t="n">
        <v>0.08888428965230953</v>
      </c>
      <c r="O4" s="445" t="n">
        <v>0.5067993389789744</v>
      </c>
      <c r="P4" s="445" t="n">
        <v>0.9259121818896379</v>
      </c>
      <c r="Q4" s="445" t="n">
        <v>1.42046891056622</v>
      </c>
      <c r="R4" s="763" t="n">
        <v>0.0117500141908384</v>
      </c>
      <c r="S4" s="763" t="n">
        <v>0.09774436090225563</v>
      </c>
      <c r="T4" s="763" t="n">
        <v>0.2356830085000429</v>
      </c>
    </row>
    <row r="5">
      <c r="A5" s="442" t="inlineStr">
        <is>
          <t>Air Transport</t>
        </is>
      </c>
      <c r="B5" s="443" t="n">
        <v>155</v>
      </c>
      <c r="C5" s="444" t="n">
        <v>0.09210000000000002</v>
      </c>
      <c r="D5" s="444" t="n">
        <v>0.188</v>
      </c>
      <c r="E5" s="444" t="n">
        <v>0.311</v>
      </c>
      <c r="F5" s="444" t="n">
        <v>-0.03366526235158943</v>
      </c>
      <c r="G5" s="444" t="n">
        <v>0.08642601461539179</v>
      </c>
      <c r="H5" s="444" t="n">
        <v>0.1535580524344569</v>
      </c>
      <c r="I5" s="445" t="n">
        <v>0.4822614953489223</v>
      </c>
      <c r="J5" s="445" t="n">
        <v>0.9818234110288968</v>
      </c>
      <c r="K5" s="445" t="n">
        <v>2.158664666166542</v>
      </c>
      <c r="L5" s="763" t="n">
        <v>0.07548634270861693</v>
      </c>
      <c r="M5" s="763" t="n">
        <v>0.08078841968038647</v>
      </c>
      <c r="N5" s="763" t="n">
        <v>0.09511090422332963</v>
      </c>
      <c r="O5" s="445" t="n">
        <v>0.7784964479395179</v>
      </c>
      <c r="P5" s="445" t="n">
        <v>1.240713233739075</v>
      </c>
      <c r="Q5" s="445" t="n">
        <v>1.676291875264336</v>
      </c>
      <c r="R5" s="763" t="n">
        <v>0.1536317467816228</v>
      </c>
      <c r="S5" s="763" t="n">
        <v>0.4367579355464017</v>
      </c>
      <c r="T5" s="763" t="n">
        <v>0.626528890763391</v>
      </c>
    </row>
    <row r="6">
      <c r="A6" s="442" t="inlineStr">
        <is>
          <t>Apparel</t>
        </is>
      </c>
      <c r="B6" s="443" t="n">
        <v>1152</v>
      </c>
      <c r="C6" s="444" t="n">
        <v>-0.0119</v>
      </c>
      <c r="D6" s="444" t="n">
        <v>0.0803</v>
      </c>
      <c r="E6" s="444" t="n">
        <v>0.205</v>
      </c>
      <c r="F6" s="444" t="n">
        <v>-0.02992366421898226</v>
      </c>
      <c r="G6" s="444" t="n">
        <v>0.03884180790960452</v>
      </c>
      <c r="H6" s="444" t="n">
        <v>0.09127939270505461</v>
      </c>
      <c r="I6" s="445" t="n">
        <v>0.6410073787071592</v>
      </c>
      <c r="J6" s="445" t="n">
        <v>1.214144230063825</v>
      </c>
      <c r="K6" s="445" t="n">
        <v>1.832142949870966</v>
      </c>
      <c r="L6" s="763" t="n">
        <v>0.0809939896693336</v>
      </c>
      <c r="M6" s="763" t="n">
        <v>0.09623882839362224</v>
      </c>
      <c r="N6" s="763" t="n">
        <v>0.09922870004892297</v>
      </c>
      <c r="O6" s="445" t="n">
        <v>0.3133717668461348</v>
      </c>
      <c r="P6" s="445" t="n">
        <v>0.7884320972122296</v>
      </c>
      <c r="Q6" s="445" t="n">
        <v>1.304485262547038</v>
      </c>
      <c r="R6" s="763" t="n">
        <v>0.05959352394075094</v>
      </c>
      <c r="S6" s="763" t="n">
        <v>0.2344753747323341</v>
      </c>
      <c r="T6" s="763" t="n">
        <v>0.5126404494382022</v>
      </c>
    </row>
    <row r="7">
      <c r="A7" s="442" t="inlineStr">
        <is>
          <t>Auto &amp; Truck</t>
        </is>
      </c>
      <c r="B7" s="443" t="n">
        <v>165</v>
      </c>
      <c r="C7" s="444" t="n">
        <v>0.0434</v>
      </c>
      <c r="D7" s="444" t="n">
        <v>0.153</v>
      </c>
      <c r="E7" s="444" t="n">
        <v>0.243</v>
      </c>
      <c r="F7" s="444" t="n">
        <v>-0.2543810062182024</v>
      </c>
      <c r="G7" s="444" t="n">
        <v>0.03224978614200171</v>
      </c>
      <c r="H7" s="444" t="n">
        <v>0.08524744698340553</v>
      </c>
      <c r="I7" s="445" t="n">
        <v>0.5915638270621842</v>
      </c>
      <c r="J7" s="445" t="n">
        <v>1.367272194550249</v>
      </c>
      <c r="K7" s="445" t="n">
        <v>2.877554177724357</v>
      </c>
      <c r="L7" s="763" t="n">
        <v>0.085515379882285</v>
      </c>
      <c r="M7" s="763" t="n">
        <v>0.09358829244066104</v>
      </c>
      <c r="N7" s="763" t="n">
        <v>0.09926696977187735</v>
      </c>
      <c r="O7" s="445" t="n">
        <v>0.8500670587943352</v>
      </c>
      <c r="P7" s="445" t="n">
        <v>1.391400674129436</v>
      </c>
      <c r="Q7" s="445" t="n">
        <v>1.824495963419501</v>
      </c>
      <c r="R7" s="763" t="n">
        <v>0.01284736332093401</v>
      </c>
      <c r="S7" s="763" t="n">
        <v>0.1307709829343942</v>
      </c>
      <c r="T7" s="763" t="n">
        <v>0.3792389746855596</v>
      </c>
    </row>
    <row r="8">
      <c r="A8" s="442" t="inlineStr">
        <is>
          <t>Auto Parts</t>
        </is>
      </c>
      <c r="B8" s="443" t="n">
        <v>761</v>
      </c>
      <c r="C8" s="444" t="n">
        <v>0.0775</v>
      </c>
      <c r="D8" s="444" t="n">
        <v>0.133</v>
      </c>
      <c r="E8" s="444" t="n">
        <v>0.217</v>
      </c>
      <c r="F8" s="444" t="n">
        <v>0.0179178655506147</v>
      </c>
      <c r="G8" s="444" t="n">
        <v>0.047520184544406</v>
      </c>
      <c r="H8" s="444" t="n">
        <v>0.08726695755652519</v>
      </c>
      <c r="I8" s="445" t="n">
        <v>1.004318322023442</v>
      </c>
      <c r="J8" s="445" t="n">
        <v>1.601700366848063</v>
      </c>
      <c r="K8" s="445" t="n">
        <v>2.360748843079512</v>
      </c>
      <c r="L8" s="763" t="n">
        <v>0.09775278367129892</v>
      </c>
      <c r="M8" s="763" t="n">
        <v>0.1035398625191708</v>
      </c>
      <c r="N8" s="763" t="n">
        <v>0.1058675598881899</v>
      </c>
      <c r="O8" s="445" t="n">
        <v>0.833431933229425</v>
      </c>
      <c r="P8" s="445" t="n">
        <v>1.232626377077593</v>
      </c>
      <c r="Q8" s="445" t="n">
        <v>1.70321829415326</v>
      </c>
      <c r="R8" s="763" t="n">
        <v>0.04628786893771941</v>
      </c>
      <c r="S8" s="763" t="n">
        <v>0.1815564473913802</v>
      </c>
      <c r="T8" s="763" t="n">
        <v>0.4199553239017125</v>
      </c>
    </row>
    <row r="9">
      <c r="A9" s="442" t="inlineStr">
        <is>
          <t>Bank (Money Center)</t>
        </is>
      </c>
      <c r="B9" s="443" t="n">
        <v>607</v>
      </c>
      <c r="C9" s="444" t="n">
        <v>0.0823</v>
      </c>
      <c r="D9" s="444" t="n">
        <v>0.142</v>
      </c>
      <c r="E9" s="444" t="n">
        <v>0.239</v>
      </c>
      <c r="F9" s="444" t="n">
        <v>0</v>
      </c>
      <c r="G9" s="444" t="n">
        <v>0</v>
      </c>
      <c r="H9" s="444" t="n">
        <v>0</v>
      </c>
      <c r="I9" s="445" t="n">
        <v>0.1483223367588072</v>
      </c>
      <c r="J9" s="445" t="n">
        <v>0.2530231896429079</v>
      </c>
      <c r="K9" s="445" t="n">
        <v>0.4725059274120008</v>
      </c>
      <c r="L9" s="763" t="n">
        <v>0.06105718460287066</v>
      </c>
      <c r="M9" s="763" t="n">
        <v>0.07035018296351489</v>
      </c>
      <c r="N9" s="763" t="n">
        <v>0.09308708232295936</v>
      </c>
      <c r="O9" s="445" t="n">
        <v>0.2622764322642789</v>
      </c>
      <c r="P9" s="445" t="n">
        <v>0.8358118490036747</v>
      </c>
      <c r="Q9" s="445" t="n">
        <v>1.321703224628091</v>
      </c>
      <c r="R9" s="763" t="n">
        <v>0.2481650466177346</v>
      </c>
      <c r="S9" s="763" t="n">
        <v>0.5234223734713223</v>
      </c>
      <c r="T9" s="763" t="n">
        <v>0.719745038947034</v>
      </c>
    </row>
    <row r="10">
      <c r="A10" s="442" t="inlineStr">
        <is>
          <t>Banks (Regional)</t>
        </is>
      </c>
      <c r="B10" s="443" t="n">
        <v>881</v>
      </c>
      <c r="C10" s="444" t="n">
        <v>0.0444</v>
      </c>
      <c r="D10" s="444" t="n">
        <v>0.09130000000000001</v>
      </c>
      <c r="E10" s="444" t="n">
        <v>0.154</v>
      </c>
      <c r="F10" s="444" t="n">
        <v>0</v>
      </c>
      <c r="G10" s="444" t="n">
        <v>0</v>
      </c>
      <c r="H10" s="444" t="n">
        <v>0.00117627026018016</v>
      </c>
      <c r="I10" s="445" t="n">
        <v>0.1858490566037736</v>
      </c>
      <c r="J10" s="445" t="n">
        <v>0.362459025986885</v>
      </c>
      <c r="K10" s="445" t="n">
        <v>0.6402620680009354</v>
      </c>
      <c r="L10" s="763" t="n">
        <v>0.04881219951969602</v>
      </c>
      <c r="M10" s="763" t="n">
        <v>0.05069093326920979</v>
      </c>
      <c r="N10" s="763" t="n">
        <v>0.0522633419173839</v>
      </c>
      <c r="O10" s="445" t="n">
        <v>0.2057687656370838</v>
      </c>
      <c r="P10" s="445" t="n">
        <v>0.4418342101687323</v>
      </c>
      <c r="Q10" s="445" t="n">
        <v>0.7575596408822887</v>
      </c>
      <c r="R10" s="763" t="n">
        <v>0.1392448709790364</v>
      </c>
      <c r="S10" s="763" t="n">
        <v>0.4039039106036102</v>
      </c>
      <c r="T10" s="763" t="n">
        <v>0.6485657379990399</v>
      </c>
    </row>
    <row r="11">
      <c r="A11" s="442" t="inlineStr">
        <is>
          <t>Beverage (Alcoholic)</t>
        </is>
      </c>
      <c r="B11" s="443" t="n">
        <v>220</v>
      </c>
      <c r="C11" s="444" t="n">
        <v>0.0462</v>
      </c>
      <c r="D11" s="444" t="n">
        <v>0.104</v>
      </c>
      <c r="E11" s="444" t="n">
        <v>0.18</v>
      </c>
      <c r="F11" s="444" t="n">
        <v>0.01880790611488573</v>
      </c>
      <c r="G11" s="444" t="n">
        <v>0.08407341622261692</v>
      </c>
      <c r="H11" s="444" t="n">
        <v>0.1927631757142083</v>
      </c>
      <c r="I11" s="445" t="n">
        <v>0.5973506623344162</v>
      </c>
      <c r="J11" s="445" t="n">
        <v>1.099201909916441</v>
      </c>
      <c r="K11" s="445" t="n">
        <v>2.206418672501824</v>
      </c>
      <c r="L11" s="763" t="n">
        <v>0.07059025425896753</v>
      </c>
      <c r="M11" s="763" t="n">
        <v>0.07763500850733079</v>
      </c>
      <c r="N11" s="763" t="n">
        <v>0.0922964280727263</v>
      </c>
      <c r="O11" s="445" t="n">
        <v>0.3346210148305092</v>
      </c>
      <c r="P11" s="445" t="n">
        <v>0.7149946961782315</v>
      </c>
      <c r="Q11" s="445" t="n">
        <v>1.081841713380472</v>
      </c>
      <c r="R11" s="763" t="n">
        <v>0.001598531373609064</v>
      </c>
      <c r="S11" s="763" t="n">
        <v>0.06227857542420288</v>
      </c>
      <c r="T11" s="763" t="n">
        <v>0.2591483387927001</v>
      </c>
    </row>
    <row r="12">
      <c r="A12" s="442" t="inlineStr">
        <is>
          <t>Beverage (Soft)</t>
        </is>
      </c>
      <c r="B12" s="443" t="n">
        <v>100</v>
      </c>
      <c r="C12" s="444" t="n">
        <v>0.0394</v>
      </c>
      <c r="D12" s="444" t="n">
        <v>0.09910000000000001</v>
      </c>
      <c r="E12" s="444" t="n">
        <v>0.161</v>
      </c>
      <c r="F12" s="444" t="n">
        <v>-0.1572953054607621</v>
      </c>
      <c r="G12" s="444" t="n">
        <v>0.06918622371228283</v>
      </c>
      <c r="H12" s="444" t="n">
        <v>0.1248161378440849</v>
      </c>
      <c r="I12" s="445" t="n">
        <v>1.220314307281951</v>
      </c>
      <c r="J12" s="445" t="n">
        <v>1.807893543430733</v>
      </c>
      <c r="K12" s="445" t="n">
        <v>2.881905298759865</v>
      </c>
      <c r="L12" s="763" t="n">
        <v>0.06898751822706016</v>
      </c>
      <c r="M12" s="763" t="n">
        <v>0.07466314824788337</v>
      </c>
      <c r="N12" s="763" t="n">
        <v>0.08454127816338909</v>
      </c>
      <c r="O12" s="445" t="n">
        <v>0.227864792957012</v>
      </c>
      <c r="P12" s="445" t="n">
        <v>0.6004673207561629</v>
      </c>
      <c r="Q12" s="445" t="n">
        <v>0.9609438041442201</v>
      </c>
      <c r="R12" s="763" t="n">
        <v>0.006932361844365274</v>
      </c>
      <c r="S12" s="763" t="n">
        <v>0.06902099769083329</v>
      </c>
      <c r="T12" s="763" t="n">
        <v>0.3184342766463898</v>
      </c>
    </row>
    <row r="13">
      <c r="A13" s="442" t="inlineStr">
        <is>
          <t>Broadcasting</t>
        </is>
      </c>
      <c r="B13" s="443" t="n">
        <v>130</v>
      </c>
      <c r="C13" s="444" t="n">
        <v>-0.00195</v>
      </c>
      <c r="D13" s="444" t="n">
        <v>0.0452</v>
      </c>
      <c r="E13" s="444" t="n">
        <v>0.09119999999999999</v>
      </c>
      <c r="F13" s="444" t="n">
        <v>-0.02509316770186336</v>
      </c>
      <c r="G13" s="444" t="n">
        <v>0.05338686784732209</v>
      </c>
      <c r="H13" s="444" t="n">
        <v>0.1227557411273486</v>
      </c>
      <c r="I13" s="445" t="n">
        <v>0.6200668292242392</v>
      </c>
      <c r="J13" s="445" t="n">
        <v>0.9797083069118581</v>
      </c>
      <c r="K13" s="445" t="n">
        <v>1.749002761583308</v>
      </c>
      <c r="L13" s="763" t="n">
        <v>0.0736719858968715</v>
      </c>
      <c r="M13" s="763" t="n">
        <v>0.07710504889471813</v>
      </c>
      <c r="N13" s="763" t="n">
        <v>0.09098039049624033</v>
      </c>
      <c r="O13" s="445" t="n">
        <v>0.5050759990877971</v>
      </c>
      <c r="P13" s="445" t="n">
        <v>1.021566703669367</v>
      </c>
      <c r="Q13" s="445" t="n">
        <v>1.5082100492417</v>
      </c>
      <c r="R13" s="763" t="n">
        <v>0.0409794252678116</v>
      </c>
      <c r="S13" s="763" t="n">
        <v>0.2767555555555556</v>
      </c>
      <c r="T13" s="763" t="n">
        <v>0.5826664199589694</v>
      </c>
    </row>
    <row r="14">
      <c r="A14" s="442" t="inlineStr">
        <is>
          <t>Brokerage &amp; Investment Banking</t>
        </is>
      </c>
      <c r="B14" s="443" t="n">
        <v>590</v>
      </c>
      <c r="C14" s="444" t="n">
        <v>-0.038</v>
      </c>
      <c r="D14" s="444" t="n">
        <v>0.0722</v>
      </c>
      <c r="E14" s="444" t="n">
        <v>0.253</v>
      </c>
      <c r="F14" s="444" t="n">
        <v>0</v>
      </c>
      <c r="G14" s="444" t="n">
        <v>0</v>
      </c>
      <c r="H14" s="444" t="n">
        <v>0</v>
      </c>
      <c r="I14" s="445" t="n">
        <v>0.07491010787055533</v>
      </c>
      <c r="J14" s="445" t="n">
        <v>0.2205646454924607</v>
      </c>
      <c r="K14" s="445" t="n">
        <v>0.8392701634213502</v>
      </c>
      <c r="L14" s="763" t="n">
        <v>0.05916207485232679</v>
      </c>
      <c r="M14" s="763" t="n">
        <v>0.06731664696098894</v>
      </c>
      <c r="N14" s="763" t="n">
        <v>0.07001629460600559</v>
      </c>
      <c r="O14" s="445" t="n">
        <v>0.3493481690300868</v>
      </c>
      <c r="P14" s="445" t="n">
        <v>0.9118862151101015</v>
      </c>
      <c r="Q14" s="445" t="n">
        <v>1.454565665453819</v>
      </c>
      <c r="R14" s="763" t="n">
        <v>0.007225433526011561</v>
      </c>
      <c r="S14" s="763" t="n">
        <v>0.1421616358325219</v>
      </c>
      <c r="T14" s="763" t="n">
        <v>0.535271943995692</v>
      </c>
    </row>
    <row r="15">
      <c r="A15" s="442" t="inlineStr">
        <is>
          <t>Building Materials</t>
        </is>
      </c>
      <c r="B15" s="443" t="n">
        <v>457</v>
      </c>
      <c r="C15" s="444" t="n">
        <v>0.0197</v>
      </c>
      <c r="D15" s="444" t="n">
        <v>0.09130000000000001</v>
      </c>
      <c r="E15" s="444" t="n">
        <v>0.169</v>
      </c>
      <c r="F15" s="444" t="n">
        <v>0.01153122058362096</v>
      </c>
      <c r="G15" s="444" t="n">
        <v>0.06788685524126456</v>
      </c>
      <c r="H15" s="444" t="n">
        <v>0.1223618090452261</v>
      </c>
      <c r="I15" s="445" t="n">
        <v>0.9046011234230639</v>
      </c>
      <c r="J15" s="445" t="n">
        <v>1.418824163969795</v>
      </c>
      <c r="K15" s="445" t="n">
        <v>2.280118057418836</v>
      </c>
      <c r="L15" s="763" t="n">
        <v>0.08405588120214819</v>
      </c>
      <c r="M15" s="763" t="n">
        <v>0.08974609846798184</v>
      </c>
      <c r="N15" s="763" t="n">
        <v>0.1067230932795727</v>
      </c>
      <c r="O15" s="445" t="n">
        <v>0.5036193196570941</v>
      </c>
      <c r="P15" s="445" t="n">
        <v>0.9747940732489032</v>
      </c>
      <c r="Q15" s="445" t="n">
        <v>1.462454217342408</v>
      </c>
      <c r="R15" s="763" t="n">
        <v>0.05630630630630631</v>
      </c>
      <c r="S15" s="763" t="n">
        <v>0.1734767025089606</v>
      </c>
      <c r="T15" s="763" t="n">
        <v>0.3712599755647405</v>
      </c>
    </row>
    <row r="16">
      <c r="A16" s="442" t="inlineStr">
        <is>
          <t>Business &amp; Consumer Services</t>
        </is>
      </c>
      <c r="B16" s="443" t="n">
        <v>980</v>
      </c>
      <c r="C16" s="444" t="n">
        <v>0.0259</v>
      </c>
      <c r="D16" s="444" t="n">
        <v>0.08800000000000001</v>
      </c>
      <c r="E16" s="444" t="n">
        <v>0.184</v>
      </c>
      <c r="F16" s="444" t="n">
        <v>0</v>
      </c>
      <c r="G16" s="444" t="n">
        <v>0.05699241133653399</v>
      </c>
      <c r="H16" s="444" t="n">
        <v>0.1200980392156863</v>
      </c>
      <c r="I16" s="445" t="n">
        <v>0.9391323659919348</v>
      </c>
      <c r="J16" s="445" t="n">
        <v>2.388369678089305</v>
      </c>
      <c r="K16" s="445" t="n">
        <v>5.518857363443352</v>
      </c>
      <c r="L16" s="763" t="n">
        <v>0.08255148945638</v>
      </c>
      <c r="M16" s="763" t="n">
        <v>0.08992796166352335</v>
      </c>
      <c r="N16" s="763" t="n">
        <v>0.09248008788523542</v>
      </c>
      <c r="O16" s="445" t="n">
        <v>0.5221486638994687</v>
      </c>
      <c r="P16" s="445" t="n">
        <v>0.9899478226686172</v>
      </c>
      <c r="Q16" s="445" t="n">
        <v>1.459764269339867</v>
      </c>
      <c r="R16" s="763" t="n">
        <v>0.01296590447342174</v>
      </c>
      <c r="S16" s="763" t="n">
        <v>0.1105722599418041</v>
      </c>
      <c r="T16" s="763" t="n">
        <v>0.305747072235142</v>
      </c>
    </row>
    <row r="17">
      <c r="A17" s="442" t="inlineStr">
        <is>
          <t>Cable TV</t>
        </is>
      </c>
      <c r="B17" s="443" t="n">
        <v>48</v>
      </c>
      <c r="C17" s="444" t="n">
        <v>-0.0407</v>
      </c>
      <c r="D17" s="444" t="n">
        <v>0.00434</v>
      </c>
      <c r="E17" s="444" t="n">
        <v>0.0434</v>
      </c>
      <c r="F17" s="444" t="n">
        <v>-0.009173715029277815</v>
      </c>
      <c r="G17" s="444" t="n">
        <v>0.04754207473614148</v>
      </c>
      <c r="H17" s="444" t="n">
        <v>0.2113321412606169</v>
      </c>
      <c r="I17" s="445" t="n">
        <v>0.3379001381352765</v>
      </c>
      <c r="J17" s="445" t="n">
        <v>0.6496518731108288</v>
      </c>
      <c r="K17" s="445" t="n">
        <v>1.159479251423922</v>
      </c>
      <c r="L17" s="763" t="n">
        <v>0.06739569145758198</v>
      </c>
      <c r="M17" s="763" t="n">
        <v>0.07187675324991656</v>
      </c>
      <c r="N17" s="763" t="n">
        <v>0.08505900102119285</v>
      </c>
      <c r="O17" s="445" t="n">
        <v>0.633084545543681</v>
      </c>
      <c r="P17" s="445" t="n">
        <v>1.077758748701366</v>
      </c>
      <c r="Q17" s="445" t="n">
        <v>1.35366209359659</v>
      </c>
      <c r="R17" s="763" t="n">
        <v>0.03418422560315743</v>
      </c>
      <c r="S17" s="763" t="n">
        <v>0.379735935706085</v>
      </c>
      <c r="T17" s="763" t="n">
        <v>0.6462093862815883</v>
      </c>
    </row>
    <row r="18">
      <c r="A18" s="442" t="inlineStr">
        <is>
          <t>Chemical (Basic)</t>
        </is>
      </c>
      <c r="B18" s="443" t="n">
        <v>888</v>
      </c>
      <c r="C18" s="444" t="n">
        <v>0.0449</v>
      </c>
      <c r="D18" s="444" t="n">
        <v>0.12</v>
      </c>
      <c r="E18" s="444" t="n">
        <v>0.224</v>
      </c>
      <c r="F18" s="444" t="n">
        <v>-0.001032702237521515</v>
      </c>
      <c r="G18" s="444" t="n">
        <v>0.05159474671669794</v>
      </c>
      <c r="H18" s="444" t="n">
        <v>0.1098272888882098</v>
      </c>
      <c r="I18" s="445" t="n">
        <v>0.7778878089316388</v>
      </c>
      <c r="J18" s="445" t="n">
        <v>1.202037780335139</v>
      </c>
      <c r="K18" s="445" t="n">
        <v>1.77456848925062</v>
      </c>
      <c r="L18" s="763" t="n">
        <v>0.08617527129200236</v>
      </c>
      <c r="M18" s="763" t="n">
        <v>0.08908717075301946</v>
      </c>
      <c r="N18" s="763" t="n">
        <v>0.105663611238849</v>
      </c>
      <c r="O18" s="445" t="n">
        <v>0.6177338525468948</v>
      </c>
      <c r="P18" s="445" t="n">
        <v>1.046070122202205</v>
      </c>
      <c r="Q18" s="445" t="n">
        <v>1.486573104131997</v>
      </c>
      <c r="R18" s="763" t="n">
        <v>0.02782797253342971</v>
      </c>
      <c r="S18" s="763" t="n">
        <v>0.1499659168370825</v>
      </c>
      <c r="T18" s="763" t="n">
        <v>0.3632183908045977</v>
      </c>
    </row>
    <row r="19">
      <c r="A19" s="442" t="inlineStr">
        <is>
          <t>Chemical (Diversified)</t>
        </is>
      </c>
      <c r="B19" s="443" t="n">
        <v>64</v>
      </c>
      <c r="C19" s="444" t="n">
        <v>0.0566</v>
      </c>
      <c r="D19" s="444" t="n">
        <v>0.12</v>
      </c>
      <c r="E19" s="444" t="n">
        <v>0.184</v>
      </c>
      <c r="F19" s="444" t="n">
        <v>0.02850809957845308</v>
      </c>
      <c r="G19" s="444" t="n">
        <v>0.07044177926218308</v>
      </c>
      <c r="H19" s="444" t="n">
        <v>0.134965034965035</v>
      </c>
      <c r="I19" s="445" t="n">
        <v>0.9055361525391733</v>
      </c>
      <c r="J19" s="445" t="n">
        <v>1.201374294316692</v>
      </c>
      <c r="K19" s="445" t="n">
        <v>1.638636363636364</v>
      </c>
      <c r="L19" s="763" t="n">
        <v>0.07950987790559788</v>
      </c>
      <c r="M19" s="763" t="n">
        <v>0.08417924803381006</v>
      </c>
      <c r="N19" s="763" t="n">
        <v>0.1037641729694857</v>
      </c>
      <c r="O19" s="445" t="n">
        <v>0.6993101230345485</v>
      </c>
      <c r="P19" s="445" t="n">
        <v>1.125450608340361</v>
      </c>
      <c r="Q19" s="445" t="n">
        <v>1.366194871117592</v>
      </c>
      <c r="R19" s="763" t="n">
        <v>0.1152705328832975</v>
      </c>
      <c r="S19" s="763" t="n">
        <v>0.2523215812603154</v>
      </c>
      <c r="T19" s="763" t="n">
        <v>0.450165689523324</v>
      </c>
    </row>
    <row r="20">
      <c r="A20" s="442" t="inlineStr">
        <is>
          <t>Chemical (Specialty)</t>
        </is>
      </c>
      <c r="B20" s="443" t="n">
        <v>949</v>
      </c>
      <c r="C20" s="444" t="n">
        <v>0.0382</v>
      </c>
      <c r="D20" s="444" t="n">
        <v>0.114</v>
      </c>
      <c r="E20" s="444" t="n">
        <v>0.211</v>
      </c>
      <c r="F20" s="444" t="n">
        <v>0.00247787610619469</v>
      </c>
      <c r="G20" s="444" t="n">
        <v>0.06483790523690773</v>
      </c>
      <c r="H20" s="444" t="n">
        <v>0.1321167883211679</v>
      </c>
      <c r="I20" s="445" t="n">
        <v>0.6829360575104048</v>
      </c>
      <c r="J20" s="445" t="n">
        <v>1.12908899050299</v>
      </c>
      <c r="K20" s="445" t="n">
        <v>1.641500882591479</v>
      </c>
      <c r="L20" s="763" t="n">
        <v>0.08607563438672819</v>
      </c>
      <c r="M20" s="763" t="n">
        <v>0.09045321240604182</v>
      </c>
      <c r="N20" s="763" t="n">
        <v>0.1095815593154258</v>
      </c>
      <c r="O20" s="445" t="n">
        <v>0.5586488007229141</v>
      </c>
      <c r="P20" s="445" t="n">
        <v>0.9824680873781174</v>
      </c>
      <c r="Q20" s="445" t="n">
        <v>1.424573869727302</v>
      </c>
      <c r="R20" s="763" t="n">
        <v>0.02294739979138728</v>
      </c>
      <c r="S20" s="763" t="n">
        <v>0.1187143597719025</v>
      </c>
      <c r="T20" s="763" t="n">
        <v>0.2811981486333072</v>
      </c>
    </row>
    <row r="21">
      <c r="A21" s="442" t="inlineStr">
        <is>
          <t>Coal &amp; Related Energy</t>
        </is>
      </c>
      <c r="B21" s="443" t="n">
        <v>215</v>
      </c>
      <c r="C21" s="444" t="n">
        <v>0.11</v>
      </c>
      <c r="D21" s="444" t="n">
        <v>0.212</v>
      </c>
      <c r="E21" s="444" t="n">
        <v>0.377</v>
      </c>
      <c r="F21" s="444" t="n">
        <v>-0.1298429319371728</v>
      </c>
      <c r="G21" s="444" t="n">
        <v>0.1066306731904842</v>
      </c>
      <c r="H21" s="444" t="n">
        <v>0.2382934443288241</v>
      </c>
      <c r="I21" s="445" t="n">
        <v>0</v>
      </c>
      <c r="J21" s="445" t="n">
        <v>0.6182428886323083</v>
      </c>
      <c r="K21" s="445" t="n">
        <v>1.7984</v>
      </c>
      <c r="L21" s="763" t="n">
        <v>0.08865915065955403</v>
      </c>
      <c r="M21" s="763" t="n">
        <v>0.09049151507742678</v>
      </c>
      <c r="N21" s="763" t="n">
        <v>0.1110428409979302</v>
      </c>
      <c r="O21" s="445" t="n">
        <v>0.3727351568985759</v>
      </c>
      <c r="P21" s="445" t="n">
        <v>0.9444725696960092</v>
      </c>
      <c r="Q21" s="445" t="n">
        <v>1.575926483040253</v>
      </c>
      <c r="R21" s="763" t="n">
        <v>5.66412799850395e-05</v>
      </c>
      <c r="S21" s="763" t="n">
        <v>0.0551744706233224</v>
      </c>
      <c r="T21" s="763" t="n">
        <v>0.2618323925314807</v>
      </c>
    </row>
    <row r="22">
      <c r="A22" s="442" t="inlineStr">
        <is>
          <t>Computer Services</t>
        </is>
      </c>
      <c r="B22" s="443" t="n">
        <v>1164</v>
      </c>
      <c r="C22" s="444" t="n">
        <v>0.0161</v>
      </c>
      <c r="D22" s="444" t="n">
        <v>0.0973</v>
      </c>
      <c r="E22" s="444" t="n">
        <v>0.195</v>
      </c>
      <c r="F22" s="444" t="n">
        <v>0.005176534492123846</v>
      </c>
      <c r="G22" s="444" t="n">
        <v>0.04873072781235526</v>
      </c>
      <c r="H22" s="444" t="n">
        <v>0.09931170108161258</v>
      </c>
      <c r="I22" s="445" t="n">
        <v>1.43595041322314</v>
      </c>
      <c r="J22" s="445" t="n">
        <v>3.043881334981458</v>
      </c>
      <c r="K22" s="445" t="n">
        <v>6.276041076679524</v>
      </c>
      <c r="L22" s="763" t="n">
        <v>0.09043512842322962</v>
      </c>
      <c r="M22" s="763" t="n">
        <v>0.09409255401815129</v>
      </c>
      <c r="N22" s="763" t="n">
        <v>0.1076934404282229</v>
      </c>
      <c r="O22" s="445" t="n">
        <v>0.5648900084166104</v>
      </c>
      <c r="P22" s="445" t="n">
        <v>1.003765905072171</v>
      </c>
      <c r="Q22" s="445" t="n">
        <v>1.447932600314236</v>
      </c>
      <c r="R22" s="763" t="n">
        <v>0.0105382911202922</v>
      </c>
      <c r="S22" s="763" t="n">
        <v>0.07269527548395832</v>
      </c>
      <c r="T22" s="763" t="n">
        <v>0.2246674268339035</v>
      </c>
    </row>
    <row r="23">
      <c r="A23" s="442" t="inlineStr">
        <is>
          <t>Computers/Peripherals</t>
        </is>
      </c>
      <c r="B23" s="443" t="n">
        <v>338</v>
      </c>
      <c r="C23" s="444" t="n">
        <v>-0.0421</v>
      </c>
      <c r="D23" s="444" t="n">
        <v>0.0336</v>
      </c>
      <c r="E23" s="444" t="n">
        <v>0.102</v>
      </c>
      <c r="F23" s="444" t="n">
        <v>-0.05042424242424243</v>
      </c>
      <c r="G23" s="444" t="n">
        <v>0.02903225806451613</v>
      </c>
      <c r="H23" s="444" t="n">
        <v>0.09309998515853894</v>
      </c>
      <c r="I23" s="445" t="n">
        <v>0.826106800547695</v>
      </c>
      <c r="J23" s="445" t="n">
        <v>1.554752066115703</v>
      </c>
      <c r="K23" s="445" t="n">
        <v>2.804967129291454</v>
      </c>
      <c r="L23" s="763" t="n">
        <v>0.1024153249601094</v>
      </c>
      <c r="M23" s="763" t="n">
        <v>0.106235527278809</v>
      </c>
      <c r="N23" s="763" t="n">
        <v>0.1083986321335266</v>
      </c>
      <c r="O23" s="445" t="n">
        <v>0.8059414775513541</v>
      </c>
      <c r="P23" s="445" t="n">
        <v>1.208390091947987</v>
      </c>
      <c r="Q23" s="445" t="n">
        <v>1.710163280085617</v>
      </c>
      <c r="R23" s="763" t="n">
        <v>0.01749151749151749</v>
      </c>
      <c r="S23" s="763" t="n">
        <v>0.09428129829984543</v>
      </c>
      <c r="T23" s="763" t="n">
        <v>0.2658627449327959</v>
      </c>
    </row>
    <row r="24">
      <c r="A24" s="442" t="inlineStr">
        <is>
          <t>Construction Supplies</t>
        </is>
      </c>
      <c r="B24" s="443" t="n">
        <v>453</v>
      </c>
      <c r="C24" s="444" t="n">
        <v>0.0141</v>
      </c>
      <c r="D24" s="444" t="n">
        <v>0.09970000000000001</v>
      </c>
      <c r="E24" s="444" t="n">
        <v>0.195</v>
      </c>
      <c r="F24" s="444" t="n">
        <v>0.01701214721701819</v>
      </c>
      <c r="G24" s="444" t="n">
        <v>0.0804140127388535</v>
      </c>
      <c r="H24" s="444" t="n">
        <v>0.1370693233706932</v>
      </c>
      <c r="I24" s="445" t="n">
        <v>0.551623646960866</v>
      </c>
      <c r="J24" s="445" t="n">
        <v>0.9730420495344735</v>
      </c>
      <c r="K24" s="445" t="n">
        <v>1.472868217054264</v>
      </c>
      <c r="L24" s="763" t="n">
        <v>0.07686099553776719</v>
      </c>
      <c r="M24" s="763" t="n">
        <v>0.08857633511136384</v>
      </c>
      <c r="N24" s="763" t="n">
        <v>0.09800328222189005</v>
      </c>
      <c r="O24" s="445" t="n">
        <v>0.4269034632197925</v>
      </c>
      <c r="P24" s="445" t="n">
        <v>0.9057036612311372</v>
      </c>
      <c r="Q24" s="445" t="n">
        <v>1.348416564951304</v>
      </c>
      <c r="R24" s="763" t="n">
        <v>0.03422152560083595</v>
      </c>
      <c r="S24" s="763" t="n">
        <v>0.1816526610644258</v>
      </c>
      <c r="T24" s="763" t="n">
        <v>0.3883037694013304</v>
      </c>
    </row>
    <row r="25">
      <c r="A25" s="442" t="inlineStr">
        <is>
          <t>Diversified</t>
        </is>
      </c>
      <c r="B25" s="443" t="n">
        <v>326</v>
      </c>
      <c r="C25" s="444" t="n">
        <v>0.0446</v>
      </c>
      <c r="D25" s="444" t="n">
        <v>0.126</v>
      </c>
      <c r="E25" s="444" t="n">
        <v>0.231</v>
      </c>
      <c r="F25" s="444" t="n">
        <v>0.02756813417190775</v>
      </c>
      <c r="G25" s="444" t="n">
        <v>0.09447589303142691</v>
      </c>
      <c r="H25" s="444" t="n">
        <v>0.1801439812489536</v>
      </c>
      <c r="I25" s="445" t="n">
        <v>0.2325669374080096</v>
      </c>
      <c r="J25" s="445" t="n">
        <v>0.711439774730914</v>
      </c>
      <c r="K25" s="445" t="n">
        <v>1.801159251408883</v>
      </c>
      <c r="L25" s="763" t="n">
        <v>0.07342226115527012</v>
      </c>
      <c r="M25" s="763" t="n">
        <v>0.0811908294811873</v>
      </c>
      <c r="N25" s="763" t="n">
        <v>0.09570495390741254</v>
      </c>
      <c r="O25" s="445" t="n">
        <v>0.3993751342500558</v>
      </c>
      <c r="P25" s="445" t="n">
        <v>0.916923264166887</v>
      </c>
      <c r="Q25" s="445" t="n">
        <v>1.435477769550142</v>
      </c>
      <c r="R25" s="763" t="n">
        <v>0.05200916317484538</v>
      </c>
      <c r="S25" s="763" t="n">
        <v>0.3084745762711865</v>
      </c>
      <c r="T25" s="763" t="n">
        <v>0.5882079851439183</v>
      </c>
    </row>
    <row r="26">
      <c r="A26" s="442" t="inlineStr">
        <is>
          <t>Drugs (Biotechnology)</t>
        </is>
      </c>
      <c r="B26" s="443" t="n">
        <v>1259</v>
      </c>
      <c r="C26" s="444" t="n">
        <v>-0.05300000000000001</v>
      </c>
      <c r="D26" s="444" t="n">
        <v>0.11</v>
      </c>
      <c r="E26" s="444" t="n">
        <v>0.399</v>
      </c>
      <c r="F26" s="444" t="n">
        <v>-12.87079134971378</v>
      </c>
      <c r="G26" s="444" t="n">
        <v>-2.421487603305785</v>
      </c>
      <c r="H26" s="444" t="n">
        <v>-0.1676470588235294</v>
      </c>
      <c r="I26" s="445" t="n">
        <v>0.001864031639602062</v>
      </c>
      <c r="J26" s="445" t="n">
        <v>0.1721311475409836</v>
      </c>
      <c r="K26" s="445" t="n">
        <v>0.7374250044873428</v>
      </c>
      <c r="L26" s="763" t="n">
        <v>0.09107256542614203</v>
      </c>
      <c r="M26" s="763" t="n">
        <v>0.09165759615603469</v>
      </c>
      <c r="N26" s="763" t="n">
        <v>0.100632247162767</v>
      </c>
      <c r="O26" s="445" t="n">
        <v>0.6412542267471837</v>
      </c>
      <c r="P26" s="445" t="n">
        <v>1.108579338558525</v>
      </c>
      <c r="Q26" s="445" t="n">
        <v>1.636713621680469</v>
      </c>
      <c r="R26" s="763" t="n">
        <v>0.003541787809906433</v>
      </c>
      <c r="S26" s="763" t="n">
        <v>0.04044835875256449</v>
      </c>
      <c r="T26" s="763" t="n">
        <v>0.1668740494953684</v>
      </c>
    </row>
    <row r="27">
      <c r="A27" s="442" t="inlineStr">
        <is>
          <t>Drugs (Pharmaceutical)</t>
        </is>
      </c>
      <c r="B27" s="443" t="n">
        <v>1299</v>
      </c>
      <c r="C27" s="444" t="n">
        <v>0.0121</v>
      </c>
      <c r="D27" s="444" t="n">
        <v>0.09</v>
      </c>
      <c r="E27" s="444" t="n">
        <v>0.184</v>
      </c>
      <c r="F27" s="444" t="n">
        <v>-0.2980958634274458</v>
      </c>
      <c r="G27" s="444" t="n">
        <v>0.05275109170305677</v>
      </c>
      <c r="H27" s="444" t="n">
        <v>0.1426573426573426</v>
      </c>
      <c r="I27" s="445" t="n">
        <v>0.408505875769446</v>
      </c>
      <c r="J27" s="445" t="n">
        <v>0.8603970520822315</v>
      </c>
      <c r="K27" s="445" t="n">
        <v>1.407624633431085</v>
      </c>
      <c r="L27" s="763" t="n">
        <v>0.07946971827051694</v>
      </c>
      <c r="M27" s="763" t="n">
        <v>0.08695354832775432</v>
      </c>
      <c r="N27" s="763" t="n">
        <v>0.09201961239183637</v>
      </c>
      <c r="O27" s="445" t="n">
        <v>0.4689517632669788</v>
      </c>
      <c r="P27" s="445" t="n">
        <v>0.8547367162095574</v>
      </c>
      <c r="Q27" s="445" t="n">
        <v>1.321946073176484</v>
      </c>
      <c r="R27" s="763" t="n">
        <v>0.0060790273556231</v>
      </c>
      <c r="S27" s="763" t="n">
        <v>0.07834131618660192</v>
      </c>
      <c r="T27" s="763" t="n">
        <v>0.2569625761531766</v>
      </c>
    </row>
    <row r="28">
      <c r="A28" s="442" t="inlineStr">
        <is>
          <t>Education</t>
        </is>
      </c>
      <c r="B28" s="443" t="n">
        <v>260</v>
      </c>
      <c r="C28" s="444" t="n">
        <v>0.00507</v>
      </c>
      <c r="D28" s="444" t="n">
        <v>0.09570000000000001</v>
      </c>
      <c r="E28" s="444" t="n">
        <v>0.206</v>
      </c>
      <c r="F28" s="444" t="n">
        <v>-0.03421828908554572</v>
      </c>
      <c r="G28" s="444" t="n">
        <v>0.08151632742000742</v>
      </c>
      <c r="H28" s="444" t="n">
        <v>0.1856796116504854</v>
      </c>
      <c r="I28" s="445" t="n">
        <v>0.4005450508041181</v>
      </c>
      <c r="J28" s="445" t="n">
        <v>1.024233498460303</v>
      </c>
      <c r="K28" s="445" t="n">
        <v>2.3218256449225</v>
      </c>
      <c r="L28" s="763" t="n">
        <v>0.0749829152471205</v>
      </c>
      <c r="M28" s="763" t="n">
        <v>0.07980116181356933</v>
      </c>
      <c r="N28" s="763" t="n">
        <v>0.09095277932782156</v>
      </c>
      <c r="O28" s="445" t="n">
        <v>0.2599929931506992</v>
      </c>
      <c r="P28" s="445" t="n">
        <v>0.7681542434214266</v>
      </c>
      <c r="Q28" s="445" t="n">
        <v>1.230319315867861</v>
      </c>
      <c r="R28" s="763" t="n">
        <v>0.01824106743248005</v>
      </c>
      <c r="S28" s="763" t="n">
        <v>0.1311944764013264</v>
      </c>
      <c r="T28" s="763" t="n">
        <v>0.3860010719479272</v>
      </c>
    </row>
    <row r="29">
      <c r="A29" s="442" t="inlineStr">
        <is>
          <t>Electrical Equipment</t>
        </is>
      </c>
      <c r="B29" s="443" t="n">
        <v>1072</v>
      </c>
      <c r="C29" s="444" t="n">
        <v>0.0342</v>
      </c>
      <c r="D29" s="444" t="n">
        <v>0.127</v>
      </c>
      <c r="E29" s="444" t="n">
        <v>0.266</v>
      </c>
      <c r="F29" s="444" t="n">
        <v>-0.01394495412844037</v>
      </c>
      <c r="G29" s="444" t="n">
        <v>0.04971042471042472</v>
      </c>
      <c r="H29" s="444" t="n">
        <v>0.1025670302758301</v>
      </c>
      <c r="I29" s="445" t="n">
        <v>0.7853844064113013</v>
      </c>
      <c r="J29" s="445" t="n">
        <v>1.41271676300578</v>
      </c>
      <c r="K29" s="445" t="n">
        <v>2.209302325581395</v>
      </c>
      <c r="L29" s="763" t="n">
        <v>0.09461882571311157</v>
      </c>
      <c r="M29" s="763" t="n">
        <v>0.09904760526853885</v>
      </c>
      <c r="N29" s="763" t="n">
        <v>0.1007969718433285</v>
      </c>
      <c r="O29" s="445" t="n">
        <v>0.5918704821430562</v>
      </c>
      <c r="P29" s="445" t="n">
        <v>1.080245257160927</v>
      </c>
      <c r="Q29" s="445" t="n">
        <v>1.609268762135982</v>
      </c>
      <c r="R29" s="763" t="n">
        <v>0.01758539059857964</v>
      </c>
      <c r="S29" s="763" t="n">
        <v>0.1031278245332282</v>
      </c>
      <c r="T29" s="763" t="n">
        <v>0.2700361010830325</v>
      </c>
    </row>
    <row r="30">
      <c r="A30" s="442" t="inlineStr">
        <is>
          <t>Electronics (Consumer &amp; Office)</t>
        </is>
      </c>
      <c r="B30" s="443" t="n">
        <v>127</v>
      </c>
      <c r="C30" s="444" t="n">
        <v>-0.0438</v>
      </c>
      <c r="D30" s="444" t="n">
        <v>0.0573</v>
      </c>
      <c r="E30" s="444" t="n">
        <v>0.138</v>
      </c>
      <c r="F30" s="444" t="n">
        <v>-0.05801324503311259</v>
      </c>
      <c r="G30" s="444" t="n">
        <v>0.03038598412263892</v>
      </c>
      <c r="H30" s="444" t="n">
        <v>0.07262300891652079</v>
      </c>
      <c r="I30" s="445" t="n">
        <v>1.061159287996349</v>
      </c>
      <c r="J30" s="445" t="n">
        <v>1.741554054054054</v>
      </c>
      <c r="K30" s="445" t="n">
        <v>2.780612244897959</v>
      </c>
      <c r="L30" s="763" t="n">
        <v>0.09109518207902552</v>
      </c>
      <c r="M30" s="763" t="n">
        <v>0.09776625058752712</v>
      </c>
      <c r="N30" s="763" t="n">
        <v>0.1002032992344775</v>
      </c>
      <c r="O30" s="445" t="n">
        <v>0.718953127517035</v>
      </c>
      <c r="P30" s="445" t="n">
        <v>1.179104108245023</v>
      </c>
      <c r="Q30" s="445" t="n">
        <v>1.751180882460848</v>
      </c>
      <c r="R30" s="763" t="n">
        <v>0.02684718895188461</v>
      </c>
      <c r="S30" s="763" t="n">
        <v>0.1316793893129771</v>
      </c>
      <c r="T30" s="763" t="n">
        <v>0.3392369444674336</v>
      </c>
    </row>
    <row r="31">
      <c r="A31" s="442" t="inlineStr">
        <is>
          <t>Electronics (General)</t>
        </is>
      </c>
      <c r="B31" s="443" t="n">
        <v>1486</v>
      </c>
      <c r="C31" s="444" t="n">
        <v>-0.0166</v>
      </c>
      <c r="D31" s="444" t="n">
        <v>0.0621</v>
      </c>
      <c r="E31" s="444" t="n">
        <v>0.149</v>
      </c>
      <c r="F31" s="444" t="n">
        <v>-0.06284333113601406</v>
      </c>
      <c r="G31" s="444" t="n">
        <v>0.04059278350515464</v>
      </c>
      <c r="H31" s="444" t="n">
        <v>0.1001949317738791</v>
      </c>
      <c r="I31" s="445" t="n">
        <v>0.7042062415196745</v>
      </c>
      <c r="J31" s="445" t="n">
        <v>1.195867026055705</v>
      </c>
      <c r="K31" s="445" t="n">
        <v>1.926155592031937</v>
      </c>
      <c r="L31" s="763" t="n">
        <v>0.1031493045695606</v>
      </c>
      <c r="M31" s="763" t="n">
        <v>0.1076605877335424</v>
      </c>
      <c r="N31" s="763" t="n">
        <v>0.110100820170016</v>
      </c>
      <c r="O31" s="445" t="n">
        <v>0.7469700779027746</v>
      </c>
      <c r="P31" s="445" t="n">
        <v>1.254871304110378</v>
      </c>
      <c r="Q31" s="445" t="n">
        <v>1.789210965139168</v>
      </c>
      <c r="R31" s="763" t="n">
        <v>0.01532017348571052</v>
      </c>
      <c r="S31" s="763" t="n">
        <v>0.08892330910679534</v>
      </c>
      <c r="T31" s="763" t="n">
        <v>0.2288732394366197</v>
      </c>
    </row>
    <row r="32">
      <c r="A32" s="442" t="inlineStr">
        <is>
          <t>Engineering/Construction</t>
        </is>
      </c>
      <c r="B32" s="443" t="n">
        <v>1623</v>
      </c>
      <c r="C32" s="444" t="n">
        <v>-0.0192</v>
      </c>
      <c r="D32" s="444" t="n">
        <v>0.0668</v>
      </c>
      <c r="E32" s="444" t="n">
        <v>0.177</v>
      </c>
      <c r="F32" s="444" t="n">
        <v>-0.002638888888888889</v>
      </c>
      <c r="G32" s="444" t="n">
        <v>0.04301395723410629</v>
      </c>
      <c r="H32" s="444" t="n">
        <v>0.08422244233762559</v>
      </c>
      <c r="I32" s="445" t="n">
        <v>0.7684371388011885</v>
      </c>
      <c r="J32" s="445" t="n">
        <v>1.640927053294884</v>
      </c>
      <c r="K32" s="445" t="n">
        <v>3.009502090459901</v>
      </c>
      <c r="L32" s="763" t="n">
        <v>0.07820543034194977</v>
      </c>
      <c r="M32" s="763" t="n">
        <v>0.08206241271018874</v>
      </c>
      <c r="N32" s="763" t="n">
        <v>0.0962859899559179</v>
      </c>
      <c r="O32" s="445" t="n">
        <v>0.5249899919156651</v>
      </c>
      <c r="P32" s="445" t="n">
        <v>0.9668772105712965</v>
      </c>
      <c r="Q32" s="445" t="n">
        <v>1.455682768776427</v>
      </c>
      <c r="R32" s="763" t="n">
        <v>0.03986345735035297</v>
      </c>
      <c r="S32" s="763" t="n">
        <v>0.1936026936026936</v>
      </c>
      <c r="T32" s="763" t="n">
        <v>0.474145990650845</v>
      </c>
    </row>
    <row r="33">
      <c r="A33" s="442" t="inlineStr">
        <is>
          <t>Entertainment</t>
        </is>
      </c>
      <c r="B33" s="443" t="n">
        <v>741</v>
      </c>
      <c r="C33" s="444" t="n">
        <v>-0.0281</v>
      </c>
      <c r="D33" s="444" t="n">
        <v>0.102</v>
      </c>
      <c r="E33" s="444" t="n">
        <v>0.272</v>
      </c>
      <c r="F33" s="444" t="n">
        <v>-0.2458333333333333</v>
      </c>
      <c r="G33" s="444" t="n">
        <v>0.01021155410903173</v>
      </c>
      <c r="H33" s="444" t="n">
        <v>0.1103174603174603</v>
      </c>
      <c r="I33" s="445" t="n">
        <v>0.4651369619352543</v>
      </c>
      <c r="J33" s="445" t="n">
        <v>1.076760934480942</v>
      </c>
      <c r="K33" s="445" t="n">
        <v>2.535110750447987</v>
      </c>
      <c r="L33" s="763" t="n">
        <v>0.08614980063257772</v>
      </c>
      <c r="M33" s="763" t="n">
        <v>0.09445105414262434</v>
      </c>
      <c r="N33" s="763" t="n">
        <v>0.09819853975156889</v>
      </c>
      <c r="O33" s="445" t="n">
        <v>0.5179071021794708</v>
      </c>
      <c r="P33" s="445" t="n">
        <v>1.023460922346831</v>
      </c>
      <c r="Q33" s="445" t="n">
        <v>1.662298313749064</v>
      </c>
      <c r="R33" s="763" t="n">
        <v>0.001786529726092147</v>
      </c>
      <c r="S33" s="763" t="n">
        <v>0.05105333080280888</v>
      </c>
      <c r="T33" s="763" t="n">
        <v>0.2607937200174444</v>
      </c>
    </row>
    <row r="34">
      <c r="A34" s="442" t="inlineStr">
        <is>
          <t>Environmental &amp; Waste Services</t>
        </is>
      </c>
      <c r="B34" s="443" t="n">
        <v>383</v>
      </c>
      <c r="C34" s="444" t="n">
        <v>-0.00184</v>
      </c>
      <c r="D34" s="444" t="n">
        <v>0.0964</v>
      </c>
      <c r="E34" s="444" t="n">
        <v>0.208</v>
      </c>
      <c r="F34" s="444" t="n">
        <v>-0.06797119384619679</v>
      </c>
      <c r="G34" s="444" t="n">
        <v>0.05649484536082474</v>
      </c>
      <c r="H34" s="444" t="n">
        <v>0.1362150381402107</v>
      </c>
      <c r="I34" s="445" t="n">
        <v>0.3835955453420541</v>
      </c>
      <c r="J34" s="445" t="n">
        <v>1.000908815510451</v>
      </c>
      <c r="K34" s="445" t="n">
        <v>2.297103527387439</v>
      </c>
      <c r="L34" s="763" t="n">
        <v>0.07579559707108771</v>
      </c>
      <c r="M34" s="763" t="n">
        <v>0.08136865051154611</v>
      </c>
      <c r="N34" s="763" t="n">
        <v>0.08376018136982952</v>
      </c>
      <c r="O34" s="445" t="n">
        <v>0.4993375462559688</v>
      </c>
      <c r="P34" s="445" t="n">
        <v>0.8926869790372804</v>
      </c>
      <c r="Q34" s="445" t="n">
        <v>1.322624327235297</v>
      </c>
      <c r="R34" s="763" t="n">
        <v>0.03068736537585215</v>
      </c>
      <c r="S34" s="763" t="n">
        <v>0.1798759476223294</v>
      </c>
      <c r="T34" s="763" t="n">
        <v>0.3918840579710145</v>
      </c>
    </row>
    <row r="35">
      <c r="A35" s="442" t="inlineStr">
        <is>
          <t>Farming/Agriculture</t>
        </is>
      </c>
      <c r="B35" s="443" t="n">
        <v>430</v>
      </c>
      <c r="C35" s="444" t="n">
        <v>0.04940000000000001</v>
      </c>
      <c r="D35" s="444" t="n">
        <v>0.137</v>
      </c>
      <c r="E35" s="444" t="n">
        <v>0.223</v>
      </c>
      <c r="F35" s="444" t="n">
        <v>-0.01596491228070175</v>
      </c>
      <c r="G35" s="444" t="n">
        <v>0.05404692855259689</v>
      </c>
      <c r="H35" s="444" t="n">
        <v>0.127881636411191</v>
      </c>
      <c r="I35" s="445" t="n">
        <v>0.4794372294372294</v>
      </c>
      <c r="J35" s="445" t="n">
        <v>0.9507389162561576</v>
      </c>
      <c r="K35" s="445" t="n">
        <v>1.805121507533001</v>
      </c>
      <c r="L35" s="763" t="n">
        <v>0.06887448554733712</v>
      </c>
      <c r="M35" s="763" t="n">
        <v>0.07578952036414929</v>
      </c>
      <c r="N35" s="763" t="n">
        <v>0.08480492943412227</v>
      </c>
      <c r="O35" s="445" t="n">
        <v>0.2628207663690826</v>
      </c>
      <c r="P35" s="445" t="n">
        <v>0.691037878605737</v>
      </c>
      <c r="Q35" s="445" t="n">
        <v>1.243845980013343</v>
      </c>
      <c r="R35" s="763" t="n">
        <v>0.01934366278510249</v>
      </c>
      <c r="S35" s="763" t="n">
        <v>0.1963117595325861</v>
      </c>
      <c r="T35" s="763" t="n">
        <v>0.4301220869697113</v>
      </c>
    </row>
    <row r="36">
      <c r="A36" s="442" t="inlineStr">
        <is>
          <t>Financial Svcs. (Non-bank &amp; Insurance)</t>
        </is>
      </c>
      <c r="B36" s="443" t="n">
        <v>1258</v>
      </c>
      <c r="C36" s="444" t="n">
        <v>0.00138</v>
      </c>
      <c r="D36" s="444" t="n">
        <v>0.108</v>
      </c>
      <c r="E36" s="444" t="n">
        <v>0.238</v>
      </c>
      <c r="F36" s="444" t="n">
        <v>0</v>
      </c>
      <c r="G36" s="444" t="n">
        <v>0</v>
      </c>
      <c r="H36" s="444" t="n">
        <v>0.1426094495015171</v>
      </c>
      <c r="I36" s="445" t="n">
        <v>0.09444193402620875</v>
      </c>
      <c r="J36" s="445" t="n">
        <v>0.2496376228056048</v>
      </c>
      <c r="K36" s="445" t="n">
        <v>1.026677660451632</v>
      </c>
      <c r="L36" s="763" t="n">
        <v>0.05015195025444996</v>
      </c>
      <c r="M36" s="763" t="n">
        <v>0.05456843268853141</v>
      </c>
      <c r="N36" s="763" t="n">
        <v>0.06059011091197702</v>
      </c>
      <c r="O36" s="445" t="n">
        <v>0.3561613360222687</v>
      </c>
      <c r="P36" s="445" t="n">
        <v>0.8489303381625015</v>
      </c>
      <c r="Q36" s="445" t="n">
        <v>1.391376473162</v>
      </c>
      <c r="R36" s="763" t="n">
        <v>0.02086214845550945</v>
      </c>
      <c r="S36" s="763" t="n">
        <v>0.2651596214555194</v>
      </c>
      <c r="T36" s="763" t="n">
        <v>0.6133630430316536</v>
      </c>
    </row>
    <row r="37">
      <c r="A37" s="442" t="inlineStr">
        <is>
          <t>Food Processing</t>
        </is>
      </c>
      <c r="B37" s="443" t="n">
        <v>1657</v>
      </c>
      <c r="C37" s="444" t="n">
        <v>0.0252</v>
      </c>
      <c r="D37" s="444" t="n">
        <v>0.0867</v>
      </c>
      <c r="E37" s="444" t="n">
        <v>0.169</v>
      </c>
      <c r="F37" s="444" t="n">
        <v>0.008142059553349876</v>
      </c>
      <c r="G37" s="444" t="n">
        <v>0.05012266243591439</v>
      </c>
      <c r="H37" s="444" t="n">
        <v>0.09924812030075188</v>
      </c>
      <c r="I37" s="445" t="n">
        <v>0.9414225941422594</v>
      </c>
      <c r="J37" s="445" t="n">
        <v>1.543430886748959</v>
      </c>
      <c r="K37" s="445" t="n">
        <v>2.356118143459916</v>
      </c>
      <c r="L37" s="763" t="n">
        <v>0.07125676511630759</v>
      </c>
      <c r="M37" s="763" t="n">
        <v>0.07639847689339438</v>
      </c>
      <c r="N37" s="763" t="n">
        <v>0.0870203968615834</v>
      </c>
      <c r="O37" s="445" t="n">
        <v>0.2746399106884778</v>
      </c>
      <c r="P37" s="445" t="n">
        <v>0.6492798789831261</v>
      </c>
      <c r="Q37" s="445" t="n">
        <v>1.093717007396882</v>
      </c>
      <c r="R37" s="763" t="n">
        <v>0.0413775379079928</v>
      </c>
      <c r="S37" s="763" t="n">
        <v>0.186600058771672</v>
      </c>
      <c r="T37" s="763" t="n">
        <v>0.4144678327898014</v>
      </c>
    </row>
    <row r="38">
      <c r="A38" s="442" t="inlineStr">
        <is>
          <t>Food Wholesalers</t>
        </is>
      </c>
      <c r="B38" s="443" t="n">
        <v>173</v>
      </c>
      <c r="C38" s="444" t="n">
        <v>0.0147</v>
      </c>
      <c r="D38" s="444" t="n">
        <v>0.0776</v>
      </c>
      <c r="E38" s="444" t="n">
        <v>0.213</v>
      </c>
      <c r="F38" s="444" t="n">
        <v>0.006541935483870968</v>
      </c>
      <c r="G38" s="444" t="n">
        <v>0.0247953216374269</v>
      </c>
      <c r="H38" s="444" t="n">
        <v>0.05018383538669935</v>
      </c>
      <c r="I38" s="445" t="n">
        <v>1.34020618556701</v>
      </c>
      <c r="J38" s="445" t="n">
        <v>3.291623987342436</v>
      </c>
      <c r="K38" s="445" t="n">
        <v>6.584078711985689</v>
      </c>
      <c r="L38" s="763" t="n">
        <v>0.06443677801173839</v>
      </c>
      <c r="M38" s="763" t="n">
        <v>0.06720563593750756</v>
      </c>
      <c r="N38" s="763" t="n">
        <v>0.07821726869094134</v>
      </c>
      <c r="O38" s="445" t="n">
        <v>0.207481014179219</v>
      </c>
      <c r="P38" s="445" t="n">
        <v>0.6544334014781269</v>
      </c>
      <c r="Q38" s="445" t="n">
        <v>1.204033532104038</v>
      </c>
      <c r="R38" s="763" t="n">
        <v>0.02301037623360479</v>
      </c>
      <c r="S38" s="763" t="n">
        <v>0.2057237660721692</v>
      </c>
      <c r="T38" s="763" t="n">
        <v>0.4149102987877452</v>
      </c>
    </row>
    <row r="39">
      <c r="A39" s="442" t="inlineStr">
        <is>
          <t>Furn/Home Furnishings</t>
        </is>
      </c>
      <c r="B39" s="443" t="n">
        <v>383</v>
      </c>
      <c r="C39" s="444" t="n">
        <v>-0.014</v>
      </c>
      <c r="D39" s="444" t="n">
        <v>0.06759999999999999</v>
      </c>
      <c r="E39" s="444" t="n">
        <v>0.153</v>
      </c>
      <c r="F39" s="444" t="n">
        <v>0</v>
      </c>
      <c r="G39" s="444" t="n">
        <v>0.05428226779252111</v>
      </c>
      <c r="H39" s="444" t="n">
        <v>0.09481282114020063</v>
      </c>
      <c r="I39" s="445" t="n">
        <v>1.031948881789137</v>
      </c>
      <c r="J39" s="445" t="n">
        <v>1.529366504231854</v>
      </c>
      <c r="K39" s="445" t="n">
        <v>2.284343265260573</v>
      </c>
      <c r="L39" s="763" t="n">
        <v>0.08833212571343328</v>
      </c>
      <c r="M39" s="763" t="n">
        <v>0.09111418853645295</v>
      </c>
      <c r="N39" s="763" t="n">
        <v>0.1069540805552981</v>
      </c>
      <c r="O39" s="445" t="n">
        <v>0.4736518087854164</v>
      </c>
      <c r="P39" s="445" t="n">
        <v>0.8969749608616471</v>
      </c>
      <c r="Q39" s="445" t="n">
        <v>1.431835041324249</v>
      </c>
      <c r="R39" s="763" t="n">
        <v>0.02645502645502645</v>
      </c>
      <c r="S39" s="763" t="n">
        <v>0.1353670162059104</v>
      </c>
      <c r="T39" s="763" t="n">
        <v>0.3419068178480217</v>
      </c>
    </row>
    <row r="40">
      <c r="A40" s="442" t="inlineStr">
        <is>
          <t>Green &amp; Renewable Energy</t>
        </is>
      </c>
      <c r="B40" s="443" t="n">
        <v>253</v>
      </c>
      <c r="C40" s="444" t="n">
        <v>0.0213</v>
      </c>
      <c r="D40" s="444" t="n">
        <v>0.148</v>
      </c>
      <c r="E40" s="444" t="n">
        <v>0.37</v>
      </c>
      <c r="F40" s="444" t="n">
        <v>0.03963133640552995</v>
      </c>
      <c r="G40" s="444" t="n">
        <v>0.2303078768492603</v>
      </c>
      <c r="H40" s="444" t="n">
        <v>0.4387047031611411</v>
      </c>
      <c r="I40" s="445" t="n">
        <v>0.1288690834638083</v>
      </c>
      <c r="J40" s="445" t="n">
        <v>0.21162050518047</v>
      </c>
      <c r="K40" s="445" t="n">
        <v>0.417514534883721</v>
      </c>
      <c r="L40" s="763" t="n">
        <v>0.06686868560646486</v>
      </c>
      <c r="M40" s="763" t="n">
        <v>0.0713515315562443</v>
      </c>
      <c r="N40" s="763" t="n">
        <v>0.08397148720883504</v>
      </c>
      <c r="O40" s="445" t="n">
        <v>0.3395022706532055</v>
      </c>
      <c r="P40" s="445" t="n">
        <v>0.8869557532952093</v>
      </c>
      <c r="Q40" s="445" t="n">
        <v>1.325977359079805</v>
      </c>
      <c r="R40" s="763" t="n">
        <v>0.1198428290766208</v>
      </c>
      <c r="S40" s="763" t="n">
        <v>0.3509316770186335</v>
      </c>
      <c r="T40" s="763" t="n">
        <v>0.5596026490066225</v>
      </c>
    </row>
    <row r="41">
      <c r="A41" s="442" t="inlineStr">
        <is>
          <t>Healthcare Products</t>
        </is>
      </c>
      <c r="B41" s="443" t="n">
        <v>849</v>
      </c>
      <c r="C41" s="444" t="n">
        <v>0.0186</v>
      </c>
      <c r="D41" s="444" t="n">
        <v>0.11</v>
      </c>
      <c r="E41" s="444" t="n">
        <v>0.231</v>
      </c>
      <c r="F41" s="444" t="n">
        <v>-0.9327389618567661</v>
      </c>
      <c r="G41" s="444" t="n">
        <v>0</v>
      </c>
      <c r="H41" s="444" t="n">
        <v>0.1396070320579111</v>
      </c>
      <c r="I41" s="445" t="n">
        <v>0.5139240506329116</v>
      </c>
      <c r="J41" s="445" t="n">
        <v>0.9592061742006615</v>
      </c>
      <c r="K41" s="445" t="n">
        <v>1.59846547314578</v>
      </c>
      <c r="L41" s="763" t="n">
        <v>0.08635256623146172</v>
      </c>
      <c r="M41" s="763" t="n">
        <v>0.09220712926803723</v>
      </c>
      <c r="N41" s="763" t="n">
        <v>0.09671659712063349</v>
      </c>
      <c r="O41" s="445" t="n">
        <v>0.6345997594353269</v>
      </c>
      <c r="P41" s="445" t="n">
        <v>1.022950940395206</v>
      </c>
      <c r="Q41" s="445" t="n">
        <v>1.522616198279213</v>
      </c>
      <c r="R41" s="763" t="n">
        <v>0.006670383908473246</v>
      </c>
      <c r="S41" s="763" t="n">
        <v>0.05722857251357612</v>
      </c>
      <c r="T41" s="763" t="n">
        <v>0.1807511737089202</v>
      </c>
    </row>
    <row r="42">
      <c r="A42" s="442" t="inlineStr">
        <is>
          <t>Healthcare Support Services</t>
        </is>
      </c>
      <c r="B42" s="443" t="n">
        <v>463</v>
      </c>
      <c r="C42" s="444" t="n">
        <v>0.0329</v>
      </c>
      <c r="D42" s="444" t="n">
        <v>0.0983</v>
      </c>
      <c r="E42" s="444" t="n">
        <v>0.206</v>
      </c>
      <c r="F42" s="444" t="n">
        <v>-0.05046728971962618</v>
      </c>
      <c r="G42" s="444" t="n">
        <v>0.03628099173553719</v>
      </c>
      <c r="H42" s="444" t="n">
        <v>0.09193408499566348</v>
      </c>
      <c r="I42" s="445" t="n">
        <v>1.019607843137255</v>
      </c>
      <c r="J42" s="445" t="n">
        <v>1.991818181818182</v>
      </c>
      <c r="K42" s="445" t="n">
        <v>4.403427818061964</v>
      </c>
      <c r="L42" s="763" t="n">
        <v>0.07639012358270988</v>
      </c>
      <c r="M42" s="763" t="n">
        <v>0.08310122213939961</v>
      </c>
      <c r="N42" s="763" t="n">
        <v>0.08528839638974034</v>
      </c>
      <c r="O42" s="445" t="n">
        <v>0.4404301273652743</v>
      </c>
      <c r="P42" s="445" t="n">
        <v>0.7812420315124222</v>
      </c>
      <c r="Q42" s="445" t="n">
        <v>1.348974835561798</v>
      </c>
      <c r="R42" s="763" t="n">
        <v>0.02626854389114618</v>
      </c>
      <c r="S42" s="763" t="n">
        <v>0.1449073723056781</v>
      </c>
      <c r="T42" s="763" t="n">
        <v>0.3641329710996463</v>
      </c>
    </row>
    <row r="43">
      <c r="A43" s="442" t="inlineStr">
        <is>
          <t>Heathcare Information and Technology</t>
        </is>
      </c>
      <c r="B43" s="443" t="n">
        <v>443</v>
      </c>
      <c r="C43" s="444" t="n">
        <v>0.0421</v>
      </c>
      <c r="D43" s="444" t="n">
        <v>0.136</v>
      </c>
      <c r="E43" s="444" t="n">
        <v>0.286</v>
      </c>
      <c r="F43" s="444" t="n">
        <v>-0.8819425003288887</v>
      </c>
      <c r="G43" s="444" t="n">
        <v>-0.09302621258147822</v>
      </c>
      <c r="H43" s="444" t="n">
        <v>0.1132183908045977</v>
      </c>
      <c r="I43" s="445" t="n">
        <v>0.4816417212347989</v>
      </c>
      <c r="J43" s="445" t="n">
        <v>1.064476885644769</v>
      </c>
      <c r="K43" s="445" t="n">
        <v>2.295981231695751</v>
      </c>
      <c r="L43" s="763" t="n">
        <v>0.09218717236217229</v>
      </c>
      <c r="M43" s="763" t="n">
        <v>0.0930990572848957</v>
      </c>
      <c r="N43" s="763" t="n">
        <v>0.1030989299881405</v>
      </c>
      <c r="O43" s="445" t="n">
        <v>0.7727967597261343</v>
      </c>
      <c r="P43" s="445" t="n">
        <v>1.151970976712207</v>
      </c>
      <c r="Q43" s="445" t="n">
        <v>1.703655728528231</v>
      </c>
      <c r="R43" s="763" t="n">
        <v>0.004026654313508891</v>
      </c>
      <c r="S43" s="763" t="n">
        <v>0.04266597149808829</v>
      </c>
      <c r="T43" s="763" t="n">
        <v>0.1622699386503068</v>
      </c>
    </row>
    <row r="44">
      <c r="A44" s="442" t="inlineStr">
        <is>
          <t>Homebuilding</t>
        </is>
      </c>
      <c r="B44" s="443" t="n">
        <v>173</v>
      </c>
      <c r="C44" s="444" t="n">
        <v>0.0281</v>
      </c>
      <c r="D44" s="444" t="n">
        <v>0.0916</v>
      </c>
      <c r="E44" s="444" t="n">
        <v>0.172</v>
      </c>
      <c r="F44" s="444" t="n">
        <v>0.02492248062015504</v>
      </c>
      <c r="G44" s="444" t="n">
        <v>0.07995124923826935</v>
      </c>
      <c r="H44" s="444" t="n">
        <v>0.1476487443114782</v>
      </c>
      <c r="I44" s="445" t="n">
        <v>0.7688191223688906</v>
      </c>
      <c r="J44" s="445" t="n">
        <v>1.312175204157387</v>
      </c>
      <c r="K44" s="445" t="n">
        <v>2.429299200308772</v>
      </c>
      <c r="L44" s="763" t="n">
        <v>0.08226064164006815</v>
      </c>
      <c r="M44" s="763" t="n">
        <v>0.08700336473116593</v>
      </c>
      <c r="N44" s="763" t="n">
        <v>0.09315638205973228</v>
      </c>
      <c r="O44" s="445" t="n">
        <v>0.6534006796804992</v>
      </c>
      <c r="P44" s="445" t="n">
        <v>1.049749698895646</v>
      </c>
      <c r="Q44" s="445" t="n">
        <v>1.502037421047796</v>
      </c>
      <c r="R44" s="763" t="n">
        <v>0.1223878645828686</v>
      </c>
      <c r="S44" s="763" t="n">
        <v>0.3219512195121951</v>
      </c>
      <c r="T44" s="763" t="n">
        <v>0.5981087470449173</v>
      </c>
    </row>
    <row r="45">
      <c r="A45" s="442" t="inlineStr">
        <is>
          <t>Hospitals/Healthcare Facilities</t>
        </is>
      </c>
      <c r="B45" s="443" t="n">
        <v>232</v>
      </c>
      <c r="C45" s="444" t="n">
        <v>0.0609</v>
      </c>
      <c r="D45" s="444" t="n">
        <v>0.126</v>
      </c>
      <c r="E45" s="444" t="n">
        <v>0.209</v>
      </c>
      <c r="F45" s="444" t="n">
        <v>0.03757700205338809</v>
      </c>
      <c r="G45" s="444" t="n">
        <v>0.09552845528455284</v>
      </c>
      <c r="H45" s="444" t="n">
        <v>0.1726618705035971</v>
      </c>
      <c r="I45" s="445" t="n">
        <v>0.6656414762741653</v>
      </c>
      <c r="J45" s="445" t="n">
        <v>1.149311531841652</v>
      </c>
      <c r="K45" s="445" t="n">
        <v>1.756732891832229</v>
      </c>
      <c r="L45" s="763" t="n">
        <v>0.06514910494885043</v>
      </c>
      <c r="M45" s="763" t="n">
        <v>0.07098673546178008</v>
      </c>
      <c r="N45" s="763" t="n">
        <v>0.0829413426593493</v>
      </c>
      <c r="O45" s="445" t="n">
        <v>0.3335281963627414</v>
      </c>
      <c r="P45" s="445" t="n">
        <v>0.7757983755317827</v>
      </c>
      <c r="Q45" s="445" t="n">
        <v>1.18514802784923</v>
      </c>
      <c r="R45" s="763" t="n">
        <v>0.03009511928894433</v>
      </c>
      <c r="S45" s="763" t="n">
        <v>0.1539429463692439</v>
      </c>
      <c r="T45" s="763" t="n">
        <v>0.3725906564672215</v>
      </c>
    </row>
    <row r="46">
      <c r="A46" s="442" t="inlineStr">
        <is>
          <t>Hotel/Gaming</t>
        </is>
      </c>
      <c r="B46" s="443" t="n">
        <v>650</v>
      </c>
      <c r="C46" s="444" t="n">
        <v>0.0573</v>
      </c>
      <c r="D46" s="444" t="n">
        <v>0.181</v>
      </c>
      <c r="E46" s="444" t="n">
        <v>0.311</v>
      </c>
      <c r="F46" s="444" t="n">
        <v>-0.05937136204889405</v>
      </c>
      <c r="G46" s="444" t="n">
        <v>0.06487455197132617</v>
      </c>
      <c r="H46" s="444" t="n">
        <v>0.1750748182984181</v>
      </c>
      <c r="I46" s="445" t="n">
        <v>0.2058252427184466</v>
      </c>
      <c r="J46" s="445" t="n">
        <v>0.4986603075933765</v>
      </c>
      <c r="K46" s="445" t="n">
        <v>1.162643051327549</v>
      </c>
      <c r="L46" s="763" t="n">
        <v>0.07676294762936629</v>
      </c>
      <c r="M46" s="763" t="n">
        <v>0.08161531879717371</v>
      </c>
      <c r="N46" s="763" t="n">
        <v>0.09709191019443077</v>
      </c>
      <c r="O46" s="445" t="n">
        <v>0.3614314945730799</v>
      </c>
      <c r="P46" s="445" t="n">
        <v>0.9005309871503696</v>
      </c>
      <c r="Q46" s="445" t="n">
        <v>1.495777506943897</v>
      </c>
      <c r="R46" s="763" t="n">
        <v>0.02789284727975697</v>
      </c>
      <c r="S46" s="763" t="n">
        <v>0.214228829307141</v>
      </c>
      <c r="T46" s="763" t="n">
        <v>0.4977238239757207</v>
      </c>
    </row>
    <row r="47">
      <c r="A47" s="442" t="inlineStr">
        <is>
          <t>Household Products</t>
        </is>
      </c>
      <c r="B47" s="443" t="n">
        <v>178</v>
      </c>
      <c r="C47" s="444" t="n">
        <v>-0.0165</v>
      </c>
      <c r="D47" s="444" t="n">
        <v>0.0453</v>
      </c>
      <c r="E47" s="444" t="n">
        <v>0.139</v>
      </c>
      <c r="F47" s="444" t="n">
        <v>-0.01415525114155251</v>
      </c>
      <c r="G47" s="444" t="n">
        <v>0.05130168453292497</v>
      </c>
      <c r="H47" s="444" t="n">
        <v>0.1116564417177914</v>
      </c>
      <c r="I47" s="445" t="n">
        <v>0.8974097491331837</v>
      </c>
      <c r="J47" s="445" t="n">
        <v>1.511458180225307</v>
      </c>
      <c r="K47" s="445" t="n">
        <v>2.355996587943538</v>
      </c>
      <c r="L47" s="763" t="n">
        <v>0.07441245466869095</v>
      </c>
      <c r="M47" s="763" t="n">
        <v>0.07676096464060375</v>
      </c>
      <c r="N47" s="763" t="n">
        <v>0.09165242937667575</v>
      </c>
      <c r="O47" s="445" t="n">
        <v>0.3073668271172179</v>
      </c>
      <c r="P47" s="445" t="n">
        <v>0.6653142532759653</v>
      </c>
      <c r="Q47" s="445" t="n">
        <v>1.205817471440652</v>
      </c>
      <c r="R47" s="763" t="n">
        <v>0.01144857041167398</v>
      </c>
      <c r="S47" s="763" t="n">
        <v>0.1096886819901076</v>
      </c>
      <c r="T47" s="763" t="n">
        <v>0.2581050281408437</v>
      </c>
    </row>
    <row r="48">
      <c r="A48" s="442" t="inlineStr">
        <is>
          <t>Information Services</t>
        </is>
      </c>
      <c r="B48" s="443" t="n">
        <v>81</v>
      </c>
      <c r="C48" s="444" t="n">
        <v>0.00825</v>
      </c>
      <c r="D48" s="444" t="n">
        <v>0.07090000000000002</v>
      </c>
      <c r="E48" s="444" t="n">
        <v>0.154</v>
      </c>
      <c r="F48" s="444" t="n">
        <v>0.01992347275366143</v>
      </c>
      <c r="G48" s="444" t="n">
        <v>0.08222996515679443</v>
      </c>
      <c r="H48" s="444" t="n">
        <v>0.1281842818428184</v>
      </c>
      <c r="I48" s="445" t="n">
        <v>1.282051282051282</v>
      </c>
      <c r="J48" s="445" t="n">
        <v>2.343039126478617</v>
      </c>
      <c r="K48" s="445" t="n">
        <v>4.033083370092633</v>
      </c>
      <c r="L48" s="763" t="n">
        <v>0.08700663139659845</v>
      </c>
      <c r="M48" s="763" t="n">
        <v>0.09582047517351798</v>
      </c>
      <c r="N48" s="763" t="n">
        <v>0.1169148293587137</v>
      </c>
      <c r="O48" s="445" t="n">
        <v>0.5679741849811997</v>
      </c>
      <c r="P48" s="445" t="n">
        <v>1.094170919644543</v>
      </c>
      <c r="Q48" s="445" t="n">
        <v>1.615914241006029</v>
      </c>
      <c r="R48" s="763" t="n">
        <v>0.006459088860754061</v>
      </c>
      <c r="S48" s="763" t="n">
        <v>0.1065832553788588</v>
      </c>
      <c r="T48" s="763" t="n">
        <v>0.2978148486736188</v>
      </c>
    </row>
    <row r="49">
      <c r="A49" s="442" t="inlineStr">
        <is>
          <t>Insurance (General)</t>
        </is>
      </c>
      <c r="B49" s="443" t="n">
        <v>202</v>
      </c>
      <c r="C49" s="444" t="n">
        <v>0.0348</v>
      </c>
      <c r="D49" s="444" t="n">
        <v>0.096</v>
      </c>
      <c r="E49" s="444" t="n">
        <v>0.172</v>
      </c>
      <c r="F49" s="444" t="n">
        <v>0.03931865605134691</v>
      </c>
      <c r="G49" s="444" t="n">
        <v>0.08933161953727506</v>
      </c>
      <c r="H49" s="444" t="n">
        <v>0.1762550384756321</v>
      </c>
      <c r="I49" s="445" t="n">
        <v>1.012345679012346</v>
      </c>
      <c r="J49" s="445" t="n">
        <v>1.735156293289297</v>
      </c>
      <c r="K49" s="445" t="n">
        <v>3.280866721177433</v>
      </c>
      <c r="L49" s="763" t="n">
        <v>0.07150919627494529</v>
      </c>
      <c r="M49" s="763" t="n">
        <v>0.07497569087877776</v>
      </c>
      <c r="N49" s="763" t="n">
        <v>0.09444948772189375</v>
      </c>
      <c r="O49" s="445" t="n">
        <v>0.1807036048591203</v>
      </c>
      <c r="P49" s="445" t="n">
        <v>0.6600810478222483</v>
      </c>
      <c r="Q49" s="445" t="n">
        <v>1.136062043869906</v>
      </c>
      <c r="R49" s="763" t="n">
        <v>0.00134624056561853</v>
      </c>
      <c r="S49" s="763" t="n">
        <v>0.06206252916472236</v>
      </c>
      <c r="T49" s="763" t="n">
        <v>0.2705702257941064</v>
      </c>
    </row>
    <row r="50">
      <c r="A50" s="442" t="inlineStr">
        <is>
          <t>Insurance (Life)</t>
        </is>
      </c>
      <c r="B50" s="443" t="n">
        <v>137</v>
      </c>
      <c r="C50" s="444" t="n">
        <v>-0.0236</v>
      </c>
      <c r="D50" s="444" t="n">
        <v>0.0423</v>
      </c>
      <c r="E50" s="444" t="n">
        <v>0.161</v>
      </c>
      <c r="F50" s="444" t="n">
        <v>0.0001834150485030975</v>
      </c>
      <c r="G50" s="444" t="n">
        <v>0.07731157962405208</v>
      </c>
      <c r="H50" s="444" t="n">
        <v>0.1493212669683258</v>
      </c>
      <c r="I50" s="445" t="n">
        <v>0.6518219120306374</v>
      </c>
      <c r="J50" s="445" t="n">
        <v>1.520799233710021</v>
      </c>
      <c r="K50" s="445" t="n">
        <v>3.392714570858283</v>
      </c>
      <c r="L50" s="763" t="n">
        <v>0.07432040677157861</v>
      </c>
      <c r="M50" s="763" t="n">
        <v>0.08192197659248544</v>
      </c>
      <c r="N50" s="763" t="n">
        <v>0.1258564543253356</v>
      </c>
      <c r="O50" s="445" t="n">
        <v>0.4278628859963649</v>
      </c>
      <c r="P50" s="445" t="n">
        <v>0.8531242719845141</v>
      </c>
      <c r="Q50" s="445" t="n">
        <v>1.359199040499947</v>
      </c>
      <c r="R50" s="763" t="n">
        <v>0.005882447745357575</v>
      </c>
      <c r="S50" s="763" t="n">
        <v>0.09100923246055261</v>
      </c>
      <c r="T50" s="763" t="n">
        <v>0.427281744363936</v>
      </c>
    </row>
    <row r="51">
      <c r="A51" s="442" t="inlineStr">
        <is>
          <t>Insurance (Prop/Cas.)</t>
        </is>
      </c>
      <c r="B51" s="443" t="n">
        <v>228</v>
      </c>
      <c r="C51" s="444" t="n">
        <v>0.038</v>
      </c>
      <c r="D51" s="444" t="n">
        <v>0.0858</v>
      </c>
      <c r="E51" s="444" t="n">
        <v>0.176</v>
      </c>
      <c r="F51" s="444" t="n">
        <v>0.04937965260545906</v>
      </c>
      <c r="G51" s="444" t="n">
        <v>0.1196817148424813</v>
      </c>
      <c r="H51" s="444" t="n">
        <v>0.1997607655502392</v>
      </c>
      <c r="I51" s="445" t="n">
        <v>0.8204419889502762</v>
      </c>
      <c r="J51" s="445" t="n">
        <v>1.505290124761073</v>
      </c>
      <c r="K51" s="445" t="n">
        <v>2.819007006605832</v>
      </c>
      <c r="L51" s="763" t="n">
        <v>0.06901070313049372</v>
      </c>
      <c r="M51" s="763" t="n">
        <v>0.08229844230270678</v>
      </c>
      <c r="N51" s="763" t="n">
        <v>0.1126480468436227</v>
      </c>
      <c r="O51" s="445" t="n">
        <v>0.3628355151361401</v>
      </c>
      <c r="P51" s="445" t="n">
        <v>0.6637958526182828</v>
      </c>
      <c r="Q51" s="445" t="n">
        <v>0.9877349137351419</v>
      </c>
      <c r="R51" s="763" t="n">
        <v>0.0008665952999949025</v>
      </c>
      <c r="S51" s="763" t="n">
        <v>0.03089834064466908</v>
      </c>
      <c r="T51" s="763" t="n">
        <v>0.1547687035979441</v>
      </c>
    </row>
    <row r="52">
      <c r="A52" s="442" t="inlineStr">
        <is>
          <t>Investments &amp; Asset Management</t>
        </is>
      </c>
      <c r="B52" s="443" t="n">
        <v>1374</v>
      </c>
      <c r="C52" s="444" t="n">
        <v>-0.029</v>
      </c>
      <c r="D52" s="444" t="n">
        <v>0.114</v>
      </c>
      <c r="E52" s="444" t="n">
        <v>0.3</v>
      </c>
      <c r="F52" s="444" t="n">
        <v>-0.00133054808346924</v>
      </c>
      <c r="G52" s="444" t="n">
        <v>0.1712412945514133</v>
      </c>
      <c r="H52" s="444" t="n">
        <v>0.5777777777777778</v>
      </c>
      <c r="I52" s="445" t="n">
        <v>0.007109660285492973</v>
      </c>
      <c r="J52" s="445" t="n">
        <v>0.1260935143288084</v>
      </c>
      <c r="K52" s="445" t="n">
        <v>0.6483436716378513</v>
      </c>
      <c r="L52" s="763" t="n">
        <v>0.06227634483954853</v>
      </c>
      <c r="M52" s="763" t="n">
        <v>0.06446771294108368</v>
      </c>
      <c r="N52" s="763" t="n">
        <v>0.06875008421969271</v>
      </c>
      <c r="O52" s="445" t="n">
        <v>0.1314166379182863</v>
      </c>
      <c r="P52" s="445" t="n">
        <v>0.5879115554656339</v>
      </c>
      <c r="Q52" s="445" t="n">
        <v>1.176181355755747</v>
      </c>
      <c r="R52" s="763" t="n">
        <v>0</v>
      </c>
      <c r="S52" s="763" t="n">
        <v>0.009400720677596503</v>
      </c>
      <c r="T52" s="763" t="n">
        <v>0.1041009463722397</v>
      </c>
    </row>
    <row r="53">
      <c r="A53" s="442" t="inlineStr">
        <is>
          <t>Machinery</t>
        </is>
      </c>
      <c r="B53" s="443" t="n">
        <v>1492</v>
      </c>
      <c r="C53" s="444" t="n">
        <v>0.036</v>
      </c>
      <c r="D53" s="444" t="n">
        <v>0.101</v>
      </c>
      <c r="E53" s="444" t="n">
        <v>0.188</v>
      </c>
      <c r="F53" s="444" t="n">
        <v>0.01434352836649245</v>
      </c>
      <c r="G53" s="444" t="n">
        <v>0.06972931757529546</v>
      </c>
      <c r="H53" s="444" t="n">
        <v>0.1232188899443615</v>
      </c>
      <c r="I53" s="445" t="n">
        <v>0.8493358633776091</v>
      </c>
      <c r="J53" s="445" t="n">
        <v>1.305903398926655</v>
      </c>
      <c r="K53" s="445" t="n">
        <v>2.037948971838876</v>
      </c>
      <c r="L53" s="763" t="n">
        <v>0.0907609636688385</v>
      </c>
      <c r="M53" s="763" t="n">
        <v>0.09533906784538246</v>
      </c>
      <c r="N53" s="763" t="n">
        <v>0.09692006483049517</v>
      </c>
      <c r="O53" s="445" t="n">
        <v>0.5975616522506249</v>
      </c>
      <c r="P53" s="445" t="n">
        <v>1.015786908217617</v>
      </c>
      <c r="Q53" s="445" t="n">
        <v>1.462749661534659</v>
      </c>
      <c r="R53" s="763" t="n">
        <v>0.01589833211734564</v>
      </c>
      <c r="S53" s="763" t="n">
        <v>0.09326991556310313</v>
      </c>
      <c r="T53" s="763" t="n">
        <v>0.2458333333333333</v>
      </c>
    </row>
    <row r="54">
      <c r="A54" s="442" t="inlineStr">
        <is>
          <t>Metals &amp; Mining</t>
        </is>
      </c>
      <c r="B54" s="443" t="n">
        <v>1815</v>
      </c>
      <c r="C54" s="444" t="n">
        <v>0.0325</v>
      </c>
      <c r="D54" s="444" t="n">
        <v>0.167</v>
      </c>
      <c r="E54" s="444" t="n">
        <v>0.328</v>
      </c>
      <c r="F54" s="444" t="n">
        <v>-9.611111111111111</v>
      </c>
      <c r="G54" s="444" t="n">
        <v>-0.01529919802590993</v>
      </c>
      <c r="H54" s="444" t="n">
        <v>0.07066432069998572</v>
      </c>
      <c r="I54" s="445" t="n">
        <v>0</v>
      </c>
      <c r="J54" s="445" t="n">
        <v>0</v>
      </c>
      <c r="K54" s="445" t="n">
        <v>0.5530703538023587</v>
      </c>
      <c r="L54" s="763" t="n">
        <v>0.08401048758680386</v>
      </c>
      <c r="M54" s="763" t="n">
        <v>0.08407411582620361</v>
      </c>
      <c r="N54" s="763" t="n">
        <v>0.08624456787165205</v>
      </c>
      <c r="O54" s="445" t="n">
        <v>0.5594744857874498</v>
      </c>
      <c r="P54" s="445" t="n">
        <v>1.044028472258659</v>
      </c>
      <c r="Q54" s="445" t="n">
        <v>1.537559909513236</v>
      </c>
      <c r="R54" s="763" t="n">
        <v>0</v>
      </c>
      <c r="S54" s="763" t="n">
        <v>0.003813376662134828</v>
      </c>
      <c r="T54" s="763" t="n">
        <v>0.1134593993325917</v>
      </c>
    </row>
    <row r="55">
      <c r="A55" s="442" t="inlineStr">
        <is>
          <t>Missing</t>
        </is>
      </c>
      <c r="B55" s="443" t="n">
        <v>17</v>
      </c>
      <c r="C55" s="444" t="n"/>
      <c r="D55" s="444" t="n"/>
      <c r="E55" s="444" t="n"/>
      <c r="F55" s="444" t="n">
        <v>0</v>
      </c>
      <c r="G55" s="444" t="n">
        <v>0.02116104868913857</v>
      </c>
      <c r="H55" s="444" t="n">
        <v>0.02116104868913857</v>
      </c>
      <c r="I55" s="445" t="n"/>
      <c r="J55" s="445" t="n"/>
      <c r="K55" s="445" t="n"/>
      <c r="O55" s="445" t="n">
        <v>1.258030612019513</v>
      </c>
      <c r="P55" s="445" t="n">
        <v>1.258030612019513</v>
      </c>
      <c r="Q55" s="445" t="n">
        <v>1.258030612019513</v>
      </c>
      <c r="R55" s="763" t="n">
        <v>0</v>
      </c>
      <c r="S55" s="763" t="n">
        <v>0</v>
      </c>
      <c r="T55" s="763" t="n">
        <v>0</v>
      </c>
    </row>
    <row r="56">
      <c r="A56" s="442" t="inlineStr">
        <is>
          <t>Office Equipment &amp; Services</t>
        </is>
      </c>
      <c r="B56" s="443" t="n">
        <v>137</v>
      </c>
      <c r="C56" s="444" t="n">
        <v>0.0209</v>
      </c>
      <c r="D56" s="444" t="n">
        <v>0.061</v>
      </c>
      <c r="E56" s="444" t="n">
        <v>0.136</v>
      </c>
      <c r="F56" s="444" t="n">
        <v>0.008777372262773723</v>
      </c>
      <c r="G56" s="444" t="n">
        <v>0.06088399527736977</v>
      </c>
      <c r="H56" s="444" t="n">
        <v>0.09740670461733081</v>
      </c>
      <c r="I56" s="445" t="n">
        <v>0.9243662955507168</v>
      </c>
      <c r="J56" s="445" t="n">
        <v>1.580357933906264</v>
      </c>
      <c r="K56" s="445" t="n">
        <v>2.485243055555556</v>
      </c>
      <c r="L56" s="763" t="n">
        <v>0.07722896469767941</v>
      </c>
      <c r="M56" s="763" t="n">
        <v>0.08154738204788964</v>
      </c>
      <c r="N56" s="763" t="n">
        <v>0.09573993464624804</v>
      </c>
      <c r="O56" s="445" t="n">
        <v>0.3483511264209298</v>
      </c>
      <c r="P56" s="445" t="n">
        <v>0.7859973551387082</v>
      </c>
      <c r="Q56" s="445" t="n">
        <v>1.254445887584746</v>
      </c>
      <c r="R56" s="763" t="n">
        <v>0.02326738832897847</v>
      </c>
      <c r="S56" s="763" t="n">
        <v>0.105760780132343</v>
      </c>
      <c r="T56" s="763" t="n">
        <v>0.3366779870330349</v>
      </c>
    </row>
    <row r="57">
      <c r="A57" s="442" t="inlineStr">
        <is>
          <t>Oil/Gas (Integrated)</t>
        </is>
      </c>
      <c r="B57" s="443" t="n">
        <v>36</v>
      </c>
      <c r="C57" s="444" t="n">
        <v>0.154</v>
      </c>
      <c r="D57" s="444" t="n">
        <v>0.213</v>
      </c>
      <c r="E57" s="444" t="n">
        <v>0.282</v>
      </c>
      <c r="F57" s="444" t="n">
        <v>0.06667398829369865</v>
      </c>
      <c r="G57" s="444" t="n">
        <v>0.1334023831264111</v>
      </c>
      <c r="H57" s="444" t="n">
        <v>0.2103549332464995</v>
      </c>
      <c r="I57" s="445" t="n">
        <v>1.219214121148865</v>
      </c>
      <c r="J57" s="445" t="n">
        <v>1.711156056252836</v>
      </c>
      <c r="K57" s="445" t="n">
        <v>2.176585062079166</v>
      </c>
      <c r="L57" s="763" t="n">
        <v>0.08162772120256655</v>
      </c>
      <c r="M57" s="763" t="n">
        <v>0.08887414699212416</v>
      </c>
      <c r="N57" s="763" t="n">
        <v>0.1120042531636969</v>
      </c>
      <c r="O57" s="445" t="n">
        <v>0.5309154964964505</v>
      </c>
      <c r="P57" s="445" t="n">
        <v>0.8969749608616471</v>
      </c>
      <c r="Q57" s="445" t="n">
        <v>1.340451132564019</v>
      </c>
      <c r="R57" s="763" t="n">
        <v>0.140534262485482</v>
      </c>
      <c r="S57" s="763" t="n">
        <v>0.2992817331685361</v>
      </c>
      <c r="T57" s="763" t="n">
        <v>0.4267425320056899</v>
      </c>
    </row>
    <row r="58">
      <c r="A58" s="442" t="inlineStr">
        <is>
          <t>Oil/Gas (Production and Exploration)</t>
        </is>
      </c>
      <c r="B58" s="443" t="n">
        <v>590</v>
      </c>
      <c r="C58" s="444" t="n">
        <v>0.08470000000000001</v>
      </c>
      <c r="D58" s="444" t="n">
        <v>0.246</v>
      </c>
      <c r="E58" s="444" t="n">
        <v>0.4379999999999999</v>
      </c>
      <c r="F58" s="444" t="n">
        <v>-0.3180952380952381</v>
      </c>
      <c r="G58" s="444" t="n">
        <v>0.1592156862745098</v>
      </c>
      <c r="H58" s="444" t="n">
        <v>0.4059405940594059</v>
      </c>
      <c r="I58" s="445" t="n">
        <v>0.06046313005210847</v>
      </c>
      <c r="J58" s="445" t="n">
        <v>0.4722792607802874</v>
      </c>
      <c r="K58" s="445" t="n">
        <v>0.8853117851112685</v>
      </c>
      <c r="L58" s="763" t="n">
        <v>0.08238134470142476</v>
      </c>
      <c r="M58" s="763" t="n">
        <v>0.08304365594530191</v>
      </c>
      <c r="N58" s="763" t="n">
        <v>0.08978613864368458</v>
      </c>
      <c r="O58" s="445" t="n">
        <v>0.5390729959110587</v>
      </c>
      <c r="P58" s="445" t="n">
        <v>0.9976809475733847</v>
      </c>
      <c r="Q58" s="445" t="n">
        <v>1.546250814810917</v>
      </c>
      <c r="R58" s="763" t="n">
        <v>0</v>
      </c>
      <c r="S58" s="763" t="n">
        <v>0.08250559784674974</v>
      </c>
      <c r="T58" s="763" t="n">
        <v>0.3440615388583619</v>
      </c>
    </row>
    <row r="59">
      <c r="A59" s="442" t="inlineStr">
        <is>
          <t>Oil/Gas Distribution</t>
        </is>
      </c>
      <c r="B59" s="443" t="n">
        <v>174</v>
      </c>
      <c r="C59" s="444" t="n">
        <v>0.0158</v>
      </c>
      <c r="D59" s="444" t="n">
        <v>0.112</v>
      </c>
      <c r="E59" s="444" t="n">
        <v>0.224</v>
      </c>
      <c r="F59" s="444" t="n">
        <v>0.02072186836518047</v>
      </c>
      <c r="G59" s="444" t="n">
        <v>0.1221023640119348</v>
      </c>
      <c r="H59" s="444" t="n">
        <v>0.3126048540431719</v>
      </c>
      <c r="I59" s="445" t="n">
        <v>0.3486269634987005</v>
      </c>
      <c r="J59" s="445" t="n">
        <v>0.7125615525731389</v>
      </c>
      <c r="K59" s="445" t="n">
        <v>1.661226273842405</v>
      </c>
      <c r="L59" s="763" t="n">
        <v>0.06636544789309094</v>
      </c>
      <c r="M59" s="763" t="n">
        <v>0.07353050970805466</v>
      </c>
      <c r="N59" s="763" t="n">
        <v>0.08469475524370935</v>
      </c>
      <c r="O59" s="445" t="n">
        <v>0.3743267524927403</v>
      </c>
      <c r="P59" s="445" t="n">
        <v>0.8298620595680499</v>
      </c>
      <c r="Q59" s="445" t="n">
        <v>1.260792266906975</v>
      </c>
      <c r="R59" s="763" t="n">
        <v>0.09906183604737906</v>
      </c>
      <c r="S59" s="763" t="n">
        <v>0.3349514563106796</v>
      </c>
      <c r="T59" s="763" t="n">
        <v>0.4731300696837039</v>
      </c>
    </row>
    <row r="60">
      <c r="A60" s="442" t="inlineStr">
        <is>
          <t>Oilfield Svcs/Equip.</t>
        </is>
      </c>
      <c r="B60" s="443" t="n">
        <v>444</v>
      </c>
      <c r="C60" s="444" t="n">
        <v>0.0254</v>
      </c>
      <c r="D60" s="444" t="n">
        <v>0.156</v>
      </c>
      <c r="E60" s="444" t="n">
        <v>0.274</v>
      </c>
      <c r="F60" s="444" t="n">
        <v>-0.002202224952687693</v>
      </c>
      <c r="G60" s="444" t="n">
        <v>0.04237895383355512</v>
      </c>
      <c r="H60" s="444" t="n">
        <v>0.1028957528957529</v>
      </c>
      <c r="I60" s="445" t="n">
        <v>0.7416743419458046</v>
      </c>
      <c r="J60" s="445" t="n">
        <v>1.708389715832205</v>
      </c>
      <c r="K60" s="445" t="n">
        <v>3.451514440009392</v>
      </c>
      <c r="L60" s="763" t="n">
        <v>0.07525862229948913</v>
      </c>
      <c r="M60" s="763" t="n">
        <v>0.08152189259495903</v>
      </c>
      <c r="N60" s="763" t="n">
        <v>0.09458509655502631</v>
      </c>
      <c r="O60" s="445" t="n">
        <v>0.4491816388545652</v>
      </c>
      <c r="P60" s="445" t="n">
        <v>0.9668286408616179</v>
      </c>
      <c r="Q60" s="445" t="n">
        <v>1.462263964437873</v>
      </c>
      <c r="R60" s="763" t="n">
        <v>0.05179077557330585</v>
      </c>
      <c r="S60" s="763" t="n">
        <v>0.23349736237184</v>
      </c>
      <c r="T60" s="763" t="n">
        <v>0.5015295330990963</v>
      </c>
    </row>
    <row r="61">
      <c r="A61" s="442" t="inlineStr">
        <is>
          <t>Packaging &amp; Container</t>
        </is>
      </c>
      <c r="B61" s="443" t="n">
        <v>164</v>
      </c>
      <c r="C61" s="444" t="n">
        <v>0.0342</v>
      </c>
      <c r="D61" s="444" t="n">
        <v>0.0775</v>
      </c>
      <c r="E61" s="444" t="n">
        <v>0.141</v>
      </c>
      <c r="F61" s="444" t="n">
        <v>0.03025936599423631</v>
      </c>
      <c r="G61" s="444" t="n">
        <v>0.0674302757257227</v>
      </c>
      <c r="H61" s="444" t="n">
        <v>0.1152317880794702</v>
      </c>
      <c r="I61" s="445" t="n">
        <v>1.013722627737226</v>
      </c>
      <c r="J61" s="445" t="n">
        <v>1.396004098360656</v>
      </c>
      <c r="K61" s="445" t="n">
        <v>1.9075</v>
      </c>
      <c r="L61" s="763" t="n">
        <v>0.07084668672720806</v>
      </c>
      <c r="M61" s="763" t="n">
        <v>0.0748287877383905</v>
      </c>
      <c r="N61" s="763" t="n">
        <v>0.08701250189438442</v>
      </c>
      <c r="O61" s="445" t="n">
        <v>0.380349396492883</v>
      </c>
      <c r="P61" s="445" t="n">
        <v>0.7637351495974271</v>
      </c>
      <c r="Q61" s="445" t="n">
        <v>1.292949956498377</v>
      </c>
      <c r="R61" s="763" t="n">
        <v>0.06273411576156269</v>
      </c>
      <c r="S61" s="763" t="n">
        <v>0.2171394085697043</v>
      </c>
      <c r="T61" s="763" t="n">
        <v>0.4521004491920656</v>
      </c>
    </row>
    <row r="62">
      <c r="A62" s="442" t="inlineStr">
        <is>
          <t>Paper/Forest Products</t>
        </is>
      </c>
      <c r="B62" s="443" t="n">
        <v>266</v>
      </c>
      <c r="C62" s="444" t="n">
        <v>0.0338</v>
      </c>
      <c r="D62" s="444" t="n">
        <v>0.09859999999999999</v>
      </c>
      <c r="E62" s="444" t="n">
        <v>0.186</v>
      </c>
      <c r="F62" s="444" t="n">
        <v>-0.01255278310940499</v>
      </c>
      <c r="G62" s="444" t="n">
        <v>0.03796095444685466</v>
      </c>
      <c r="H62" s="444" t="n">
        <v>0.1082289803220036</v>
      </c>
      <c r="I62" s="445" t="n">
        <v>0.5785837651122625</v>
      </c>
      <c r="J62" s="445" t="n">
        <v>1.012721281324239</v>
      </c>
      <c r="K62" s="445" t="n">
        <v>1.613570430858494</v>
      </c>
      <c r="L62" s="763" t="n">
        <v>0.07173873119214594</v>
      </c>
      <c r="M62" s="763" t="n">
        <v>0.0768247943549423</v>
      </c>
      <c r="N62" s="763" t="n">
        <v>0.0905574703294697</v>
      </c>
      <c r="O62" s="445" t="n">
        <v>0.4104869013484358</v>
      </c>
      <c r="P62" s="445" t="n">
        <v>0.833869060616532</v>
      </c>
      <c r="Q62" s="445" t="n">
        <v>1.326560195595948</v>
      </c>
      <c r="R62" s="763" t="n">
        <v>0.09432624113475178</v>
      </c>
      <c r="S62" s="763" t="n">
        <v>0.2732919254658385</v>
      </c>
      <c r="T62" s="763" t="n">
        <v>0.5063546130461853</v>
      </c>
    </row>
    <row r="63">
      <c r="A63" s="442" t="inlineStr">
        <is>
          <t>Power</t>
        </is>
      </c>
      <c r="B63" s="443" t="n">
        <v>488</v>
      </c>
      <c r="C63" s="444" t="n">
        <v>0.0654</v>
      </c>
      <c r="D63" s="444" t="n">
        <v>0.127</v>
      </c>
      <c r="E63" s="444" t="n">
        <v>0.207</v>
      </c>
      <c r="F63" s="444" t="n">
        <v>0.04388979634228093</v>
      </c>
      <c r="G63" s="444" t="n">
        <v>0.1018891875988386</v>
      </c>
      <c r="H63" s="444" t="n">
        <v>0.2062461975258568</v>
      </c>
      <c r="I63" s="445" t="n">
        <v>0.3990843189622281</v>
      </c>
      <c r="J63" s="445" t="n">
        <v>0.6973451130291844</v>
      </c>
      <c r="K63" s="445" t="n">
        <v>1.300993571011104</v>
      </c>
      <c r="L63" s="763" t="n">
        <v>0.06077639154652098</v>
      </c>
      <c r="M63" s="763" t="n">
        <v>0.06479648693081685</v>
      </c>
      <c r="N63" s="763" t="n">
        <v>0.07577340547579547</v>
      </c>
      <c r="O63" s="445" t="n">
        <v>0.3336496206369378</v>
      </c>
      <c r="P63" s="445" t="n">
        <v>0.6483978432642004</v>
      </c>
      <c r="Q63" s="445" t="n">
        <v>1.057848276799258</v>
      </c>
      <c r="R63" s="763" t="n">
        <v>0.1164069660861595</v>
      </c>
      <c r="S63" s="763" t="n">
        <v>0.3868421052631579</v>
      </c>
      <c r="T63" s="763" t="n">
        <v>0.5883763685811745</v>
      </c>
    </row>
    <row r="64">
      <c r="A64" s="442" t="inlineStr">
        <is>
          <t>Precious Metals</t>
        </is>
      </c>
      <c r="B64" s="443" t="n">
        <v>853</v>
      </c>
      <c r="C64" s="444" t="n">
        <v>0.00285</v>
      </c>
      <c r="D64" s="444" t="n">
        <v>0.111</v>
      </c>
      <c r="E64" s="444" t="n">
        <v>0.289</v>
      </c>
      <c r="F64" s="444" t="n">
        <v>-3.8</v>
      </c>
      <c r="G64" s="444" t="n">
        <v>-0.003787313432835821</v>
      </c>
      <c r="H64" s="444" t="n">
        <v>0.1622807017543859</v>
      </c>
      <c r="I64" s="445" t="n">
        <v>0</v>
      </c>
      <c r="J64" s="445" t="n">
        <v>0</v>
      </c>
      <c r="K64" s="445" t="n">
        <v>0.2451923076923077</v>
      </c>
      <c r="L64" s="763" t="n">
        <v>0.08616658917032927</v>
      </c>
      <c r="M64" s="763" t="n">
        <v>0.08641999811087574</v>
      </c>
      <c r="N64" s="763" t="n">
        <v>0.08641999811087574</v>
      </c>
      <c r="O64" s="445" t="n">
        <v>0.5797345063276523</v>
      </c>
      <c r="P64" s="445" t="n">
        <v>1.040410168765752</v>
      </c>
      <c r="Q64" s="445" t="n">
        <v>1.546835077351937</v>
      </c>
      <c r="R64" s="763" t="n">
        <v>0</v>
      </c>
      <c r="S64" s="763" t="n">
        <v>0.004542379433652266</v>
      </c>
      <c r="T64" s="763" t="n">
        <v>0.08717346639272086</v>
      </c>
    </row>
    <row r="65">
      <c r="A65" s="442" t="inlineStr">
        <is>
          <t>Publishing &amp; Newspapers</t>
        </is>
      </c>
      <c r="B65" s="443" t="n">
        <v>205</v>
      </c>
      <c r="C65" s="444" t="n">
        <v>-0.0131</v>
      </c>
      <c r="D65" s="444" t="n">
        <v>0.0447</v>
      </c>
      <c r="E65" s="444" t="n">
        <v>0.109</v>
      </c>
      <c r="F65" s="444" t="n">
        <v>-0.03220779220779221</v>
      </c>
      <c r="G65" s="444" t="n">
        <v>0.0461427546077038</v>
      </c>
      <c r="H65" s="444" t="n">
        <v>0.105830164765526</v>
      </c>
      <c r="I65" s="445" t="n">
        <v>0.7086882453151618</v>
      </c>
      <c r="J65" s="445" t="n">
        <v>1.439854191980559</v>
      </c>
      <c r="K65" s="445" t="n">
        <v>2.88</v>
      </c>
      <c r="L65" s="763" t="n">
        <v>0.08959226836890329</v>
      </c>
      <c r="M65" s="763" t="n">
        <v>0.09389159837061532</v>
      </c>
      <c r="N65" s="763" t="n">
        <v>0.111724733915199</v>
      </c>
      <c r="O65" s="445" t="n">
        <v>0.4299147852198638</v>
      </c>
      <c r="P65" s="445" t="n">
        <v>0.9108755561319086</v>
      </c>
      <c r="Q65" s="445" t="n">
        <v>1.429335001488834</v>
      </c>
      <c r="R65" s="763" t="n">
        <v>0.004244205027750571</v>
      </c>
      <c r="S65" s="763" t="n">
        <v>0.05970392061168049</v>
      </c>
      <c r="T65" s="763" t="n">
        <v>0.3124888967845088</v>
      </c>
    </row>
    <row r="66">
      <c r="A66" s="442" t="inlineStr">
        <is>
          <t>R.E.I.T.</t>
        </is>
      </c>
      <c r="B66" s="443" t="n">
        <v>633</v>
      </c>
      <c r="C66" s="444" t="n">
        <v>0.0114</v>
      </c>
      <c r="D66" s="444" t="n">
        <v>0.0698</v>
      </c>
      <c r="E66" s="444" t="n">
        <v>0.174</v>
      </c>
      <c r="F66" s="444" t="n">
        <v>0.1851258046809299</v>
      </c>
      <c r="G66" s="444" t="n">
        <v>0.4988814317673378</v>
      </c>
      <c r="H66" s="444" t="n">
        <v>0.66</v>
      </c>
      <c r="I66" s="445" t="n">
        <v>0.05777435825697698</v>
      </c>
      <c r="J66" s="445" t="n">
        <v>0.08094245872736015</v>
      </c>
      <c r="K66" s="445" t="n">
        <v>0.1239614709873887</v>
      </c>
      <c r="L66" s="763" t="n">
        <v>0.05948160984090209</v>
      </c>
      <c r="M66" s="763" t="n">
        <v>0.06322497047164949</v>
      </c>
      <c r="N66" s="763" t="n">
        <v>0.07360656708635427</v>
      </c>
      <c r="O66" s="445" t="n">
        <v>0.4165338302034178</v>
      </c>
      <c r="P66" s="445" t="n">
        <v>0.7917797040265699</v>
      </c>
      <c r="Q66" s="445" t="n">
        <v>1.151029223390879</v>
      </c>
      <c r="R66" s="763" t="n">
        <v>0.2355478861087144</v>
      </c>
      <c r="S66" s="763" t="n">
        <v>0.4142739680973524</v>
      </c>
      <c r="T66" s="763" t="n">
        <v>0.5959334565619223</v>
      </c>
    </row>
    <row r="67">
      <c r="A67" s="442" t="inlineStr">
        <is>
          <t>Real Estate (Development)</t>
        </is>
      </c>
      <c r="B67" s="443" t="n">
        <v>884</v>
      </c>
      <c r="C67" s="444" t="n">
        <v>-0.109</v>
      </c>
      <c r="D67" s="444" t="n">
        <v>0.0476</v>
      </c>
      <c r="E67" s="444" t="n">
        <v>0.239</v>
      </c>
      <c r="F67" s="444" t="n">
        <v>-0.07295597484276729</v>
      </c>
      <c r="G67" s="444" t="n">
        <v>0.08894736842105264</v>
      </c>
      <c r="H67" s="444" t="n">
        <v>0.2043394671793463</v>
      </c>
      <c r="I67" s="445" t="n">
        <v>0.1020055325034578</v>
      </c>
      <c r="J67" s="445" t="n">
        <v>0.2415325303304219</v>
      </c>
      <c r="K67" s="445" t="n">
        <v>0.5219885596117606</v>
      </c>
      <c r="L67" s="763" t="n">
        <v>0.06337531121992672</v>
      </c>
      <c r="M67" s="763" t="n">
        <v>0.06950869511198741</v>
      </c>
      <c r="N67" s="763" t="n">
        <v>0.07422898783080406</v>
      </c>
      <c r="O67" s="445" t="n">
        <v>0.428724827332739</v>
      </c>
      <c r="P67" s="445" t="n">
        <v>0.9262277459139344</v>
      </c>
      <c r="Q67" s="445" t="n">
        <v>1.416268449372267</v>
      </c>
      <c r="R67" s="763" t="n">
        <v>0.08516260162601626</v>
      </c>
      <c r="S67" s="763" t="n">
        <v>0.4099531955432216</v>
      </c>
      <c r="T67" s="763" t="n">
        <v>0.7240853658536586</v>
      </c>
    </row>
    <row r="68">
      <c r="A68" s="442" t="inlineStr">
        <is>
          <t>Real Estate (General/Diversified)</t>
        </is>
      </c>
      <c r="B68" s="443" t="n">
        <v>336</v>
      </c>
      <c r="C68" s="444" t="n">
        <v>-0.0602</v>
      </c>
      <c r="D68" s="444" t="n">
        <v>0.07100000000000001</v>
      </c>
      <c r="E68" s="444" t="n">
        <v>0.207</v>
      </c>
      <c r="F68" s="444" t="n">
        <v>0.005366795366795367</v>
      </c>
      <c r="G68" s="444" t="n">
        <v>0.1397185032612427</v>
      </c>
      <c r="H68" s="444" t="n">
        <v>0.3126414484319431</v>
      </c>
      <c r="I68" s="445" t="n">
        <v>0.07679024885728795</v>
      </c>
      <c r="J68" s="445" t="n">
        <v>0.1756111267209891</v>
      </c>
      <c r="K68" s="445" t="n">
        <v>0.4452054794520547</v>
      </c>
      <c r="L68" s="763" t="n">
        <v>0.06504057564192911</v>
      </c>
      <c r="M68" s="763" t="n">
        <v>0.06847757083397459</v>
      </c>
      <c r="N68" s="763" t="n">
        <v>0.07969349038164569</v>
      </c>
      <c r="O68" s="445" t="n">
        <v>0.4327075435263816</v>
      </c>
      <c r="P68" s="445" t="n">
        <v>0.906561620815254</v>
      </c>
      <c r="Q68" s="445" t="n">
        <v>1.347493740467411</v>
      </c>
      <c r="R68" s="763" t="n">
        <v>0.09804351778879704</v>
      </c>
      <c r="S68" s="763" t="n">
        <v>0.42452597882295</v>
      </c>
      <c r="T68" s="763" t="n">
        <v>0.6352691218130312</v>
      </c>
    </row>
    <row r="69">
      <c r="A69" s="442" t="inlineStr">
        <is>
          <t>Real Estate (Operations &amp; Services)</t>
        </is>
      </c>
      <c r="B69" s="443" t="n">
        <v>748</v>
      </c>
      <c r="C69" s="444" t="n">
        <v>-0.0089</v>
      </c>
      <c r="D69" s="444" t="n">
        <v>0.08560000000000001</v>
      </c>
      <c r="E69" s="444" t="n">
        <v>0.217</v>
      </c>
      <c r="F69" s="444" t="n">
        <v>0.03916400791529651</v>
      </c>
      <c r="G69" s="444" t="n">
        <v>0.2488857414189335</v>
      </c>
      <c r="H69" s="444" t="n">
        <v>0.5588652482269504</v>
      </c>
      <c r="I69" s="445" t="n">
        <v>0.06206501762525986</v>
      </c>
      <c r="J69" s="445" t="n">
        <v>0.114455884389861</v>
      </c>
      <c r="K69" s="445" t="n">
        <v>0.4047052233580731</v>
      </c>
      <c r="L69" s="763" t="n">
        <v>0.06369953793084188</v>
      </c>
      <c r="M69" s="763" t="n">
        <v>0.0690173453829252</v>
      </c>
      <c r="N69" s="763" t="n">
        <v>0.07600196729568975</v>
      </c>
      <c r="O69" s="445" t="n">
        <v>0.2400072203766545</v>
      </c>
      <c r="P69" s="445" t="n">
        <v>0.7532513259957963</v>
      </c>
      <c r="Q69" s="445" t="n">
        <v>1.387830461240445</v>
      </c>
      <c r="R69" s="763" t="n">
        <v>0.01701032907115155</v>
      </c>
      <c r="S69" s="763" t="n">
        <v>0.3230815467842116</v>
      </c>
      <c r="T69" s="763" t="n">
        <v>0.5860375169212918</v>
      </c>
    </row>
    <row r="70">
      <c r="A70" s="442" t="inlineStr">
        <is>
          <t>Recreation</t>
        </is>
      </c>
      <c r="B70" s="443" t="n">
        <v>326</v>
      </c>
      <c r="C70" s="444" t="n">
        <v>0.0276</v>
      </c>
      <c r="D70" s="444" t="n">
        <v>0.111</v>
      </c>
      <c r="E70" s="444" t="n">
        <v>0.221</v>
      </c>
      <c r="F70" s="444" t="n">
        <v>-0.01717171717171717</v>
      </c>
      <c r="G70" s="444" t="n">
        <v>0.07328859060402684</v>
      </c>
      <c r="H70" s="444" t="n">
        <v>0.1530249110320284</v>
      </c>
      <c r="I70" s="445" t="n">
        <v>0.5923460898502496</v>
      </c>
      <c r="J70" s="445" t="n">
        <v>1.152364273204904</v>
      </c>
      <c r="K70" s="445" t="n">
        <v>2.039312039312039</v>
      </c>
      <c r="L70" s="763" t="n">
        <v>0.08003937144051153</v>
      </c>
      <c r="M70" s="763" t="n">
        <v>0.08583890903161522</v>
      </c>
      <c r="N70" s="763" t="n">
        <v>0.08895766781233204</v>
      </c>
      <c r="O70" s="445" t="n">
        <v>0.4924882135384958</v>
      </c>
      <c r="P70" s="445" t="n">
        <v>1.021529975355817</v>
      </c>
      <c r="Q70" s="445" t="n">
        <v>1.443048586289892</v>
      </c>
      <c r="R70" s="763" t="n">
        <v>0.03315358498102657</v>
      </c>
      <c r="S70" s="763" t="n">
        <v>0.156282814140707</v>
      </c>
      <c r="T70" s="763" t="n">
        <v>0.3943298969072165</v>
      </c>
    </row>
    <row r="71">
      <c r="A71" s="442" t="inlineStr">
        <is>
          <t>Reinsurance</t>
        </is>
      </c>
      <c r="B71" s="443" t="n">
        <v>34</v>
      </c>
      <c r="C71" s="444" t="n">
        <v>0.0391</v>
      </c>
      <c r="D71" s="444" t="n">
        <v>0.0834</v>
      </c>
      <c r="E71" s="444" t="n">
        <v>0.144</v>
      </c>
      <c r="F71" s="444" t="n">
        <v>0.07748739110499772</v>
      </c>
      <c r="G71" s="444" t="n">
        <v>0.1025648269789474</v>
      </c>
      <c r="H71" s="444" t="n">
        <v>0.1572504708097928</v>
      </c>
      <c r="I71" s="445" t="n">
        <v>0.8234192553425865</v>
      </c>
      <c r="J71" s="445" t="n">
        <v>1.260978043912176</v>
      </c>
      <c r="K71" s="445" t="n">
        <v>2.153775883069427</v>
      </c>
      <c r="L71" s="763" t="n">
        <v>0.09794090329137616</v>
      </c>
      <c r="M71" s="763" t="n">
        <v>0.1077752683169365</v>
      </c>
      <c r="N71" s="763" t="n">
        <v>0.1195306722807915</v>
      </c>
      <c r="O71" s="445" t="n">
        <v>0.6449328899668939</v>
      </c>
      <c r="P71" s="445" t="n">
        <v>1.048547177395812</v>
      </c>
      <c r="Q71" s="445" t="n">
        <v>1.432393592985552</v>
      </c>
      <c r="R71" s="763" t="n">
        <v>7.3060088601962e-05</v>
      </c>
      <c r="S71" s="763" t="n">
        <v>0.152100714304619</v>
      </c>
      <c r="T71" s="763" t="n">
        <v>0.2899927316218258</v>
      </c>
    </row>
    <row r="72">
      <c r="A72" s="442" t="inlineStr">
        <is>
          <t>Restaurant/Dining</t>
        </is>
      </c>
      <c r="B72" s="443" t="n">
        <v>394</v>
      </c>
      <c r="C72" s="444" t="n">
        <v>0.0179</v>
      </c>
      <c r="D72" s="444" t="n">
        <v>0.0959</v>
      </c>
      <c r="E72" s="444" t="n">
        <v>0.179</v>
      </c>
      <c r="F72" s="444" t="n">
        <v>-0.01884905590244753</v>
      </c>
      <c r="G72" s="444" t="n">
        <v>0.03440366972477064</v>
      </c>
      <c r="H72" s="444" t="n">
        <v>0.08528751433811284</v>
      </c>
      <c r="I72" s="445" t="n">
        <v>1.238805970149254</v>
      </c>
      <c r="J72" s="445" t="n">
        <v>2.003274073190966</v>
      </c>
      <c r="K72" s="445" t="n">
        <v>3.323983169705469</v>
      </c>
      <c r="L72" s="763" t="n">
        <v>0.07764783886670062</v>
      </c>
      <c r="M72" s="763" t="n">
        <v>0.08386510090539182</v>
      </c>
      <c r="N72" s="763" t="n">
        <v>0.08631742108658244</v>
      </c>
      <c r="O72" s="445" t="n">
        <v>0.4306930231827682</v>
      </c>
      <c r="P72" s="445" t="n">
        <v>0.8048729439384256</v>
      </c>
      <c r="Q72" s="445" t="n">
        <v>1.382817332668571</v>
      </c>
      <c r="R72" s="763" t="n">
        <v>0.0988143677755164</v>
      </c>
      <c r="S72" s="763" t="n">
        <v>0.2356647763074984</v>
      </c>
      <c r="T72" s="763" t="n">
        <v>0.4376</v>
      </c>
    </row>
    <row r="73">
      <c r="A73" s="442" t="inlineStr">
        <is>
          <t>Retail (Automotive)</t>
        </is>
      </c>
      <c r="B73" s="443" t="n">
        <v>204</v>
      </c>
      <c r="C73" s="444" t="n">
        <v>0.039</v>
      </c>
      <c r="D73" s="444" t="n">
        <v>0.117</v>
      </c>
      <c r="E73" s="444" t="n">
        <v>0.205</v>
      </c>
      <c r="F73" s="444" t="n">
        <v>0.0006964084785451448</v>
      </c>
      <c r="G73" s="444" t="n">
        <v>0.02899824253075571</v>
      </c>
      <c r="H73" s="444" t="n">
        <v>0.0567454363065216</v>
      </c>
      <c r="I73" s="445" t="n">
        <v>1.509438359356793</v>
      </c>
      <c r="J73" s="445" t="n">
        <v>2.522642823966558</v>
      </c>
      <c r="K73" s="445" t="n">
        <v>4.593055065301801</v>
      </c>
      <c r="L73" s="763" t="n">
        <v>0.07149466568881499</v>
      </c>
      <c r="M73" s="763" t="n">
        <v>0.0768145140829028</v>
      </c>
      <c r="N73" s="763" t="n">
        <v>0.09264042574340094</v>
      </c>
      <c r="O73" s="445" t="n">
        <v>0.3987987313862636</v>
      </c>
      <c r="P73" s="445" t="n">
        <v>0.8701506337464239</v>
      </c>
      <c r="Q73" s="445" t="n">
        <v>1.396339251109677</v>
      </c>
      <c r="R73" s="763" t="n">
        <v>0.1118655948387362</v>
      </c>
      <c r="S73" s="763" t="n">
        <v>0.368595825426945</v>
      </c>
      <c r="T73" s="763" t="n">
        <v>0.6178806116033259</v>
      </c>
    </row>
    <row r="74">
      <c r="A74" s="442" t="inlineStr">
        <is>
          <t>Retail (Building Supply)</t>
        </is>
      </c>
      <c r="B74" s="443" t="n">
        <v>120</v>
      </c>
      <c r="C74" s="444" t="n">
        <v>-0.00369</v>
      </c>
      <c r="D74" s="444" t="n">
        <v>0.0528</v>
      </c>
      <c r="E74" s="444" t="n">
        <v>0.11</v>
      </c>
      <c r="F74" s="444" t="n">
        <v>0.01672473867595819</v>
      </c>
      <c r="G74" s="444" t="n">
        <v>0.04151624548736462</v>
      </c>
      <c r="H74" s="444" t="n">
        <v>0.112881473660064</v>
      </c>
      <c r="I74" s="445" t="n">
        <v>1.293890538837104</v>
      </c>
      <c r="J74" s="445" t="n">
        <v>1.937233265694072</v>
      </c>
      <c r="K74" s="445" t="n">
        <v>3.722517058377559</v>
      </c>
      <c r="L74" s="763" t="n">
        <v>0.08084781067662387</v>
      </c>
      <c r="M74" s="763" t="n">
        <v>0.0885545270725753</v>
      </c>
      <c r="N74" s="763" t="n">
        <v>0.1044138033791024</v>
      </c>
      <c r="O74" s="445" t="n">
        <v>0.573292568191003</v>
      </c>
      <c r="P74" s="445" t="n">
        <v>0.9935419811848315</v>
      </c>
      <c r="Q74" s="445" t="n">
        <v>1.563840635206271</v>
      </c>
      <c r="R74" s="763" t="n">
        <v>0.1035856573705179</v>
      </c>
      <c r="S74" s="763" t="n">
        <v>0.2986592589363452</v>
      </c>
      <c r="T74" s="763" t="n">
        <v>0.5114114779525815</v>
      </c>
    </row>
    <row r="75">
      <c r="A75" s="442" t="inlineStr">
        <is>
          <t>Retail (Distributors)</t>
        </is>
      </c>
      <c r="B75" s="443" t="n">
        <v>1028</v>
      </c>
      <c r="C75" s="444" t="n">
        <v>0.00586</v>
      </c>
      <c r="D75" s="444" t="n">
        <v>0.08289999999999999</v>
      </c>
      <c r="E75" s="444" t="n">
        <v>0.195</v>
      </c>
      <c r="F75" s="444" t="n">
        <v>0</v>
      </c>
      <c r="G75" s="444" t="n">
        <v>0.03586945975576612</v>
      </c>
      <c r="H75" s="444" t="n">
        <v>0.08936651583710407</v>
      </c>
      <c r="I75" s="445" t="n">
        <v>0.7239263803680981</v>
      </c>
      <c r="J75" s="445" t="n">
        <v>1.830220713073005</v>
      </c>
      <c r="K75" s="445" t="n">
        <v>3.384887777951362</v>
      </c>
      <c r="L75" s="763" t="n">
        <v>0.06846876978254893</v>
      </c>
      <c r="M75" s="763" t="n">
        <v>0.07229305000227058</v>
      </c>
      <c r="N75" s="763" t="n">
        <v>0.08401475138409442</v>
      </c>
      <c r="O75" s="445" t="n">
        <v>0.2858084566035461</v>
      </c>
      <c r="P75" s="445" t="n">
        <v>0.7728005173009658</v>
      </c>
      <c r="Q75" s="445" t="n">
        <v>1.246639310452682</v>
      </c>
      <c r="R75" s="763" t="n">
        <v>0.01728587850001084</v>
      </c>
      <c r="S75" s="763" t="n">
        <v>0.1592482690405539</v>
      </c>
      <c r="T75" s="763" t="n">
        <v>0.4309507286606523</v>
      </c>
    </row>
    <row r="76">
      <c r="A76" s="442" t="inlineStr">
        <is>
          <t>Retail (General)</t>
        </is>
      </c>
      <c r="B76" s="443" t="n">
        <v>256</v>
      </c>
      <c r="C76" s="444" t="n">
        <v>-0.0776</v>
      </c>
      <c r="D76" s="444" t="n">
        <v>0.0254</v>
      </c>
      <c r="E76" s="444" t="n">
        <v>0.111</v>
      </c>
      <c r="F76" s="444" t="n">
        <v>-0.009202825428859741</v>
      </c>
      <c r="G76" s="444" t="n">
        <v>0.03918382990071161</v>
      </c>
      <c r="H76" s="444" t="n">
        <v>0.08692453226823629</v>
      </c>
      <c r="I76" s="445" t="n">
        <v>0.6920122887864822</v>
      </c>
      <c r="J76" s="445" t="n">
        <v>1.828811105749601</v>
      </c>
      <c r="K76" s="445" t="n">
        <v>3.347373531925317</v>
      </c>
      <c r="L76" s="763" t="n">
        <v>0.08298676092872442</v>
      </c>
      <c r="M76" s="763" t="n">
        <v>0.08936219631622466</v>
      </c>
      <c r="N76" s="763" t="n">
        <v>0.092882864533666</v>
      </c>
      <c r="O76" s="445" t="n">
        <v>0.5410665658192717</v>
      </c>
      <c r="P76" s="445" t="n">
        <v>0.928038329488805</v>
      </c>
      <c r="Q76" s="445" t="n">
        <v>1.405315979839749</v>
      </c>
      <c r="R76" s="763" t="n">
        <v>0.0881511746680286</v>
      </c>
      <c r="S76" s="763" t="n">
        <v>0.2651075206691564</v>
      </c>
      <c r="T76" s="763" t="n">
        <v>0.5706764938141616</v>
      </c>
    </row>
    <row r="77">
      <c r="A77" s="442" t="inlineStr">
        <is>
          <t>Retail (Grocery and Food)</t>
        </is>
      </c>
      <c r="B77" s="443" t="n">
        <v>201</v>
      </c>
      <c r="C77" s="444" t="n">
        <v>-0.00183</v>
      </c>
      <c r="D77" s="444" t="n">
        <v>0.0482</v>
      </c>
      <c r="E77" s="444" t="n">
        <v>0.117</v>
      </c>
      <c r="F77" s="444" t="n">
        <v>0.01449814126394052</v>
      </c>
      <c r="G77" s="444" t="n">
        <v>0.03219404698305136</v>
      </c>
      <c r="H77" s="444" t="n">
        <v>0.04979759698765825</v>
      </c>
      <c r="I77" s="445" t="n">
        <v>2.231317522786168</v>
      </c>
      <c r="J77" s="445" t="n">
        <v>3.201465201465202</v>
      </c>
      <c r="K77" s="445" t="n">
        <v>4.693829486575601</v>
      </c>
      <c r="L77" s="763" t="n">
        <v>0.06576515271101267</v>
      </c>
      <c r="M77" s="763" t="n">
        <v>0.0679152189118815</v>
      </c>
      <c r="N77" s="763" t="n">
        <v>0.07313272309941773</v>
      </c>
      <c r="O77" s="445" t="n">
        <v>0.3296063709452022</v>
      </c>
      <c r="P77" s="445" t="n">
        <v>0.5640582357927003</v>
      </c>
      <c r="Q77" s="445" t="n">
        <v>0.9096620925699408</v>
      </c>
      <c r="R77" s="763" t="n">
        <v>0.1104667026734389</v>
      </c>
      <c r="S77" s="763" t="n">
        <v>0.290221554273525</v>
      </c>
      <c r="T77" s="763" t="n">
        <v>0.4446999180973247</v>
      </c>
    </row>
    <row r="78">
      <c r="A78" s="442" t="inlineStr">
        <is>
          <t>Retail (REITs)</t>
        </is>
      </c>
      <c r="B78" s="443" t="n">
        <v>123</v>
      </c>
      <c r="C78" s="444" t="n">
        <v>0.0135</v>
      </c>
      <c r="D78" s="444" t="n">
        <v>0.0532</v>
      </c>
      <c r="E78" s="444" t="n">
        <v>0.12</v>
      </c>
      <c r="F78" s="444" t="n">
        <v>0.3986254295532646</v>
      </c>
      <c r="G78" s="444" t="n">
        <v>0.5597633136094675</v>
      </c>
      <c r="H78" s="444" t="n">
        <v>0.6773648648648649</v>
      </c>
      <c r="I78" s="445" t="n">
        <v>0.07479637862218907</v>
      </c>
      <c r="J78" s="445" t="n">
        <v>0.0971350612769646</v>
      </c>
      <c r="K78" s="445" t="n">
        <v>0.1232116788321168</v>
      </c>
      <c r="L78" s="763" t="n">
        <v>0.06265727326477667</v>
      </c>
      <c r="M78" s="763" t="n">
        <v>0.06642971875434193</v>
      </c>
      <c r="N78" s="763" t="n">
        <v>0.07538429826932144</v>
      </c>
      <c r="O78" s="445" t="n">
        <v>0.5703986672944151</v>
      </c>
      <c r="P78" s="445" t="n">
        <v>0.9139362270216549</v>
      </c>
      <c r="Q78" s="445" t="n">
        <v>1.298589233613985</v>
      </c>
      <c r="R78" s="763" t="n">
        <v>0.335725964236347</v>
      </c>
      <c r="S78" s="763" t="n">
        <v>0.4439813679823486</v>
      </c>
      <c r="T78" s="763" t="n">
        <v>0.5614740082079345</v>
      </c>
    </row>
    <row r="79">
      <c r="A79" s="442" t="inlineStr">
        <is>
          <t>Retail (Special Lines)</t>
        </is>
      </c>
      <c r="B79" s="443" t="n">
        <v>639</v>
      </c>
      <c r="C79" s="444" t="n">
        <v>0.0007000000000000001</v>
      </c>
      <c r="D79" s="444" t="n">
        <v>0.0721</v>
      </c>
      <c r="E79" s="444" t="n">
        <v>0.155</v>
      </c>
      <c r="F79" s="444" t="n">
        <v>-0.009647044568335218</v>
      </c>
      <c r="G79" s="444" t="n">
        <v>0.03782201405152225</v>
      </c>
      <c r="H79" s="444" t="n">
        <v>0.08824185893015768</v>
      </c>
      <c r="I79" s="445" t="n">
        <v>1.500887614365697</v>
      </c>
      <c r="J79" s="445" t="n">
        <v>2.505426167540544</v>
      </c>
      <c r="K79" s="445" t="n">
        <v>4.034838709677418</v>
      </c>
      <c r="L79" s="763" t="n">
        <v>0.08334712969165906</v>
      </c>
      <c r="M79" s="763" t="n">
        <v>0.09029001074557207</v>
      </c>
      <c r="N79" s="763" t="n">
        <v>0.09457671353344588</v>
      </c>
      <c r="O79" s="445" t="n">
        <v>0.5911251536049448</v>
      </c>
      <c r="P79" s="445" t="n">
        <v>0.9772468435876711</v>
      </c>
      <c r="Q79" s="445" t="n">
        <v>1.479778251691806</v>
      </c>
      <c r="R79" s="763" t="n">
        <v>0.05705344641497018</v>
      </c>
      <c r="S79" s="763" t="n">
        <v>0.2220438253318559</v>
      </c>
      <c r="T79" s="763" t="n">
        <v>0.4742031533716246</v>
      </c>
    </row>
    <row r="80">
      <c r="A80" s="442" t="inlineStr">
        <is>
          <t>Rubber&amp; Tires</t>
        </is>
      </c>
      <c r="B80" s="443" t="n">
        <v>89</v>
      </c>
      <c r="C80" s="444" t="n">
        <v>0.05019999999999999</v>
      </c>
      <c r="D80" s="444" t="n">
        <v>0.125</v>
      </c>
      <c r="E80" s="444" t="n">
        <v>0.174</v>
      </c>
      <c r="F80" s="444" t="n">
        <v>0.03844705882352941</v>
      </c>
      <c r="G80" s="444" t="n">
        <v>0.06650544135429262</v>
      </c>
      <c r="H80" s="444" t="n">
        <v>0.09706373039706372</v>
      </c>
      <c r="I80" s="445" t="n">
        <v>0.891178688112591</v>
      </c>
      <c r="J80" s="445" t="n">
        <v>1.244804700250245</v>
      </c>
      <c r="K80" s="445" t="n">
        <v>1.624813880548701</v>
      </c>
      <c r="L80" s="763" t="n">
        <v>0.08322508029770886</v>
      </c>
      <c r="M80" s="763" t="n">
        <v>0.09162938579178047</v>
      </c>
      <c r="N80" s="763" t="n">
        <v>0.1050026281815768</v>
      </c>
      <c r="O80" s="445" t="n">
        <v>0.6274517277099881</v>
      </c>
      <c r="P80" s="445" t="n">
        <v>1.090171418590347</v>
      </c>
      <c r="Q80" s="445" t="n">
        <v>1.382051088903714</v>
      </c>
      <c r="R80" s="763" t="n">
        <v>0.08250663899148378</v>
      </c>
      <c r="S80" s="763" t="n">
        <v>0.2307692307692308</v>
      </c>
      <c r="T80" s="763" t="n">
        <v>0.455307402258384</v>
      </c>
    </row>
    <row r="81">
      <c r="A81" s="442" t="inlineStr">
        <is>
          <t>Semiconductor</t>
        </is>
      </c>
      <c r="B81" s="443" t="n">
        <v>647</v>
      </c>
      <c r="C81" s="444" t="n">
        <v>-0.0273</v>
      </c>
      <c r="D81" s="444" t="n">
        <v>0.0751</v>
      </c>
      <c r="E81" s="444" t="n">
        <v>0.208</v>
      </c>
      <c r="F81" s="444" t="n">
        <v>-0.1291711517761033</v>
      </c>
      <c r="G81" s="444" t="n">
        <v>0.0160906696464203</v>
      </c>
      <c r="H81" s="444" t="n">
        <v>0.1102148059371255</v>
      </c>
      <c r="I81" s="445" t="n">
        <v>0.5772338482117424</v>
      </c>
      <c r="J81" s="445" t="n">
        <v>0.9401733558817035</v>
      </c>
      <c r="K81" s="445" t="n">
        <v>1.592168139721741</v>
      </c>
      <c r="L81" s="763" t="n">
        <v>0.1245526186995488</v>
      </c>
      <c r="M81" s="763" t="n">
        <v>0.1286472759959781</v>
      </c>
      <c r="N81" s="763" t="n">
        <v>0.1300069104193769</v>
      </c>
      <c r="O81" s="445" t="n">
        <v>1.135486957720453</v>
      </c>
      <c r="P81" s="445" t="n">
        <v>1.58973516748928</v>
      </c>
      <c r="Q81" s="445" t="n">
        <v>2.210383202616889</v>
      </c>
      <c r="R81" s="763" t="n">
        <v>0.004636922326004482</v>
      </c>
      <c r="S81" s="763" t="n">
        <v>0.05124947056332062</v>
      </c>
      <c r="T81" s="763" t="n">
        <v>0.1706295691674356</v>
      </c>
    </row>
    <row r="82">
      <c r="A82" s="442" t="inlineStr">
        <is>
          <t>Semiconductor Equip</t>
        </is>
      </c>
      <c r="B82" s="443" t="n">
        <v>367</v>
      </c>
      <c r="C82" s="444" t="n">
        <v>0.00831</v>
      </c>
      <c r="D82" s="444" t="n">
        <v>0.125</v>
      </c>
      <c r="E82" s="444" t="n">
        <v>0.254</v>
      </c>
      <c r="F82" s="444" t="n">
        <v>0.01263736263736264</v>
      </c>
      <c r="G82" s="444" t="n">
        <v>0.09660000000000001</v>
      </c>
      <c r="H82" s="444" t="n">
        <v>0.18473828224609</v>
      </c>
      <c r="I82" s="445" t="n">
        <v>0.7437503169210485</v>
      </c>
      <c r="J82" s="445" t="n">
        <v>1.152439024390244</v>
      </c>
      <c r="K82" s="445" t="n">
        <v>1.747187101264355</v>
      </c>
      <c r="L82" s="763" t="n">
        <v>0.1391919158417226</v>
      </c>
      <c r="M82" s="763" t="n">
        <v>0.1431843025082072</v>
      </c>
      <c r="N82" s="763" t="n">
        <v>0.1470322636012131</v>
      </c>
      <c r="O82" s="445" t="n">
        <v>1.299608294458068</v>
      </c>
      <c r="P82" s="445" t="n">
        <v>1.959755909254536</v>
      </c>
      <c r="Q82" s="445" t="n">
        <v>2.57519029201263</v>
      </c>
      <c r="R82" s="763" t="n">
        <v>0.009802950787206657</v>
      </c>
      <c r="S82" s="763" t="n">
        <v>0.0654100751710984</v>
      </c>
      <c r="T82" s="763" t="n">
        <v>0.1733181299885975</v>
      </c>
    </row>
    <row r="83">
      <c r="A83" s="442" t="inlineStr">
        <is>
          <t>Shipbuilding &amp; Marine</t>
        </is>
      </c>
      <c r="B83" s="443" t="n">
        <v>348</v>
      </c>
      <c r="C83" s="444" t="n">
        <v>0.0488</v>
      </c>
      <c r="D83" s="444" t="n">
        <v>0.116</v>
      </c>
      <c r="E83" s="444" t="n">
        <v>0.19</v>
      </c>
      <c r="F83" s="444" t="n">
        <v>0.06260683760683762</v>
      </c>
      <c r="G83" s="444" t="n">
        <v>0.1457142857142857</v>
      </c>
      <c r="H83" s="444" t="n">
        <v>0.2624039133473096</v>
      </c>
      <c r="I83" s="445" t="n">
        <v>0.3166890195673854</v>
      </c>
      <c r="J83" s="445" t="n">
        <v>0.5994261472419867</v>
      </c>
      <c r="K83" s="445" t="n">
        <v>1.038228535617297</v>
      </c>
      <c r="L83" s="763" t="n">
        <v>0.0817372818979578</v>
      </c>
      <c r="M83" s="763" t="n">
        <v>0.08701513750796772</v>
      </c>
      <c r="N83" s="763" t="n">
        <v>0.1048842958913875</v>
      </c>
      <c r="O83" s="445" t="n">
        <v>0.4856970967857017</v>
      </c>
      <c r="P83" s="445" t="n">
        <v>0.8676063939372943</v>
      </c>
      <c r="Q83" s="445" t="n">
        <v>1.336444131515537</v>
      </c>
      <c r="R83" s="763" t="n">
        <v>0.08058646147447228</v>
      </c>
      <c r="S83" s="763" t="n">
        <v>0.2547240480569283</v>
      </c>
      <c r="T83" s="763" t="n">
        <v>0.4810030608519839</v>
      </c>
    </row>
    <row r="84">
      <c r="A84" s="442" t="inlineStr">
        <is>
          <t>Shoe</t>
        </is>
      </c>
      <c r="B84" s="443" t="n">
        <v>85</v>
      </c>
      <c r="C84" s="444" t="n">
        <v>-0.0205</v>
      </c>
      <c r="D84" s="444" t="n">
        <v>0.08869999999999999</v>
      </c>
      <c r="E84" s="444" t="n">
        <v>0.197</v>
      </c>
      <c r="F84" s="444" t="n">
        <v>-0.03880232202871983</v>
      </c>
      <c r="G84" s="444" t="n">
        <v>0.06935483870967742</v>
      </c>
      <c r="H84" s="444" t="n">
        <v>0.1071902654867257</v>
      </c>
      <c r="I84" s="445" t="n">
        <v>0.8096095764341992</v>
      </c>
      <c r="J84" s="445" t="n">
        <v>1.337554412346656</v>
      </c>
      <c r="K84" s="445" t="n">
        <v>1.829905243227271</v>
      </c>
      <c r="L84" s="763" t="n">
        <v>0.08354653624791157</v>
      </c>
      <c r="M84" s="763" t="n">
        <v>0.08679634157552522</v>
      </c>
      <c r="N84" s="763" t="n">
        <v>0.1058361300461733</v>
      </c>
      <c r="O84" s="445" t="n">
        <v>0.2618878745868504</v>
      </c>
      <c r="P84" s="445" t="n">
        <v>0.8959411495857447</v>
      </c>
      <c r="Q84" s="445" t="n">
        <v>1.427592145866355</v>
      </c>
      <c r="R84" s="763" t="n">
        <v>0.02522146951537259</v>
      </c>
      <c r="S84" s="763" t="n">
        <v>0.131530837550503</v>
      </c>
      <c r="T84" s="763" t="n">
        <v>0.3825658394619217</v>
      </c>
    </row>
    <row r="85">
      <c r="A85" s="442" t="inlineStr">
        <is>
          <t>Software (Entertainment)</t>
        </is>
      </c>
      <c r="B85" s="443" t="n">
        <v>317</v>
      </c>
      <c r="C85" s="444" t="n">
        <v>0.00899</v>
      </c>
      <c r="D85" s="444" t="n">
        <v>0.133</v>
      </c>
      <c r="E85" s="444" t="n">
        <v>0.256</v>
      </c>
      <c r="F85" s="444" t="n">
        <v>-0.2752542372881356</v>
      </c>
      <c r="G85" s="444" t="n">
        <v>0.01695164404888381</v>
      </c>
      <c r="H85" s="444" t="n">
        <v>0.1415770609318996</v>
      </c>
      <c r="I85" s="445" t="n">
        <v>0.9122424722662439</v>
      </c>
      <c r="J85" s="445" t="n">
        <v>2.549618320610687</v>
      </c>
      <c r="K85" s="445" t="n">
        <v>5.799871390698038</v>
      </c>
      <c r="L85" s="763" t="n">
        <v>0.1007463724299459</v>
      </c>
      <c r="M85" s="763" t="n">
        <v>0.1085721408462354</v>
      </c>
      <c r="N85" s="763" t="n">
        <v>0.1146544256520548</v>
      </c>
      <c r="O85" s="445" t="n">
        <v>0.7619373205825695</v>
      </c>
      <c r="P85" s="445" t="n">
        <v>1.308613687869716</v>
      </c>
      <c r="Q85" s="445" t="n">
        <v>1.785023602020636</v>
      </c>
      <c r="R85" s="763" t="n">
        <v>0.003053405610149675</v>
      </c>
      <c r="S85" s="763" t="n">
        <v>0.04132231404958678</v>
      </c>
      <c r="T85" s="763" t="n">
        <v>0.1946710168569875</v>
      </c>
    </row>
    <row r="86">
      <c r="A86" s="442" t="inlineStr">
        <is>
          <t>Software (Internet)</t>
        </is>
      </c>
      <c r="B86" s="443" t="n">
        <v>151</v>
      </c>
      <c r="C86" s="444" t="n">
        <v>0.0343</v>
      </c>
      <c r="D86" s="444" t="n">
        <v>0.101</v>
      </c>
      <c r="E86" s="444" t="n">
        <v>0.285</v>
      </c>
      <c r="F86" s="444" t="n">
        <v>-0.231549815498155</v>
      </c>
      <c r="G86" s="444" t="n">
        <v>-0.019433091842255</v>
      </c>
      <c r="H86" s="444" t="n">
        <v>0.08696523096725624</v>
      </c>
      <c r="I86" s="445" t="n">
        <v>0.5462653288740246</v>
      </c>
      <c r="J86" s="445" t="n">
        <v>1.515500159795462</v>
      </c>
      <c r="K86" s="445" t="n">
        <v>2.90003847078276</v>
      </c>
      <c r="L86" s="763" t="n">
        <v>0.09637620564520535</v>
      </c>
      <c r="M86" s="763" t="n">
        <v>0.1048327872776708</v>
      </c>
      <c r="N86" s="763" t="n">
        <v>0.1096618806784429</v>
      </c>
      <c r="O86" s="445" t="n">
        <v>0.7425337215659807</v>
      </c>
      <c r="P86" s="445" t="n">
        <v>1.205698786213557</v>
      </c>
      <c r="Q86" s="445" t="n">
        <v>1.877224043441405</v>
      </c>
      <c r="R86" s="763" t="n">
        <v>0.01783689040107228</v>
      </c>
      <c r="S86" s="763" t="n">
        <v>0.08799999999999999</v>
      </c>
      <c r="T86" s="763" t="n">
        <v>0.2553191489361702</v>
      </c>
    </row>
    <row r="87">
      <c r="A87" s="442" t="inlineStr">
        <is>
          <t>Software (System &amp; Application)</t>
        </is>
      </c>
      <c r="B87" s="443" t="n">
        <v>1616</v>
      </c>
      <c r="C87" s="444" t="n">
        <v>0.0241</v>
      </c>
      <c r="D87" s="444" t="n">
        <v>0.111</v>
      </c>
      <c r="E87" s="444" t="n">
        <v>0.238</v>
      </c>
      <c r="F87" s="444" t="n">
        <v>-0.3719806763285025</v>
      </c>
      <c r="G87" s="444" t="n">
        <v>-0.02585185185185185</v>
      </c>
      <c r="H87" s="444" t="n">
        <v>0.09610491289880603</v>
      </c>
      <c r="I87" s="445" t="n">
        <v>0.7376570260005844</v>
      </c>
      <c r="J87" s="445" t="n">
        <v>1.776787923781242</v>
      </c>
      <c r="K87" s="445" t="n">
        <v>3.987234042553191</v>
      </c>
      <c r="L87" s="763" t="n">
        <v>0.09744367380212228</v>
      </c>
      <c r="M87" s="763" t="n">
        <v>0.1053022598065645</v>
      </c>
      <c r="N87" s="763" t="n">
        <v>0.1106470044818328</v>
      </c>
      <c r="O87" s="445" t="n">
        <v>0.689953200263927</v>
      </c>
      <c r="P87" s="445" t="n">
        <v>1.157974733301631</v>
      </c>
      <c r="Q87" s="445" t="n">
        <v>1.734772861380218</v>
      </c>
      <c r="R87" s="763" t="n">
        <v>0.002678529006509241</v>
      </c>
      <c r="S87" s="763" t="n">
        <v>0.02940997381720757</v>
      </c>
      <c r="T87" s="763" t="n">
        <v>0.1448164582492941</v>
      </c>
    </row>
    <row r="88">
      <c r="A88" s="442" t="inlineStr">
        <is>
          <t>Steel</t>
        </is>
      </c>
      <c r="B88" s="443" t="n">
        <v>718</v>
      </c>
      <c r="C88" s="444" t="n">
        <v>0.0704</v>
      </c>
      <c r="D88" s="444" t="n">
        <v>0.145</v>
      </c>
      <c r="E88" s="444" t="n">
        <v>0.243</v>
      </c>
      <c r="F88" s="444" t="n">
        <v>-0.002836269875376021</v>
      </c>
      <c r="G88" s="444" t="n">
        <v>0.04044057989798053</v>
      </c>
      <c r="H88" s="444" t="n">
        <v>0.09827039133951347</v>
      </c>
      <c r="I88" s="445" t="n">
        <v>0.8826742407690626</v>
      </c>
      <c r="J88" s="445" t="n">
        <v>1.39622641509434</v>
      </c>
      <c r="K88" s="445" t="n">
        <v>2.149019607843137</v>
      </c>
      <c r="L88" s="763" t="n">
        <v>0.08792334520885384</v>
      </c>
      <c r="M88" s="763" t="n">
        <v>0.09382442616800828</v>
      </c>
      <c r="N88" s="763" t="n">
        <v>0.114034389437253</v>
      </c>
      <c r="O88" s="445" t="n">
        <v>0.6168803328960546</v>
      </c>
      <c r="P88" s="445" t="n">
        <v>1.144180935752917</v>
      </c>
      <c r="Q88" s="445" t="n">
        <v>1.614821422538262</v>
      </c>
      <c r="R88" s="763" t="n">
        <v>0.04342190537913157</v>
      </c>
      <c r="S88" s="763" t="n">
        <v>0.2336756002251175</v>
      </c>
      <c r="T88" s="763" t="n">
        <v>0.4639865996649916</v>
      </c>
    </row>
    <row r="89">
      <c r="A89" s="442" t="inlineStr">
        <is>
          <t>Telecom (Wireless)</t>
        </is>
      </c>
      <c r="B89" s="443" t="n">
        <v>98</v>
      </c>
      <c r="C89" s="444" t="n">
        <v>0.0177</v>
      </c>
      <c r="D89" s="444" t="n">
        <v>0.0563</v>
      </c>
      <c r="E89" s="444" t="n">
        <v>0.119</v>
      </c>
      <c r="F89" s="444" t="n">
        <v>0.0414738929279577</v>
      </c>
      <c r="G89" s="444" t="n">
        <v>0.1328736764343758</v>
      </c>
      <c r="H89" s="444" t="n">
        <v>0.1947013817517415</v>
      </c>
      <c r="I89" s="445" t="n">
        <v>0.5751724137931034</v>
      </c>
      <c r="J89" s="445" t="n">
        <v>0.9761032594940925</v>
      </c>
      <c r="K89" s="445" t="n">
        <v>1.698482215822086</v>
      </c>
      <c r="L89" s="763" t="n">
        <v>0.06806752705099503</v>
      </c>
      <c r="M89" s="763" t="n">
        <v>0.07453135609288289</v>
      </c>
      <c r="N89" s="763" t="n">
        <v>0.08745880456011318</v>
      </c>
      <c r="O89" s="445" t="n">
        <v>0.3560402567987587</v>
      </c>
      <c r="P89" s="445" t="n">
        <v>0.7000595104520712</v>
      </c>
      <c r="Q89" s="445" t="n">
        <v>1.142183985941259</v>
      </c>
      <c r="R89" s="763" t="n">
        <v>0.04674345367629924</v>
      </c>
      <c r="S89" s="763" t="n">
        <v>0.2271125994868003</v>
      </c>
      <c r="T89" s="763" t="n">
        <v>0.4126760226647859</v>
      </c>
    </row>
    <row r="90">
      <c r="A90" s="442" t="inlineStr">
        <is>
          <t>Telecom. Equipment</t>
        </is>
      </c>
      <c r="B90" s="443" t="n">
        <v>453</v>
      </c>
      <c r="C90" s="444" t="n">
        <v>-0.0375</v>
      </c>
      <c r="D90" s="444" t="n">
        <v>0.0479</v>
      </c>
      <c r="E90" s="444" t="n">
        <v>0.147</v>
      </c>
      <c r="F90" s="444" t="n">
        <v>-0.1044444444444444</v>
      </c>
      <c r="G90" s="444" t="n">
        <v>0.0157581310123683</v>
      </c>
      <c r="H90" s="444" t="n">
        <v>0.09337539432176656</v>
      </c>
      <c r="I90" s="445" t="n">
        <v>0.7619595594279139</v>
      </c>
      <c r="J90" s="445" t="n">
        <v>1.330755502676978</v>
      </c>
      <c r="K90" s="445" t="n">
        <v>2.166433789914025</v>
      </c>
      <c r="L90" s="763" t="n">
        <v>0.09291137856426393</v>
      </c>
      <c r="M90" s="763" t="n">
        <v>0.1021127163557362</v>
      </c>
      <c r="N90" s="763" t="n">
        <v>0.1044950010005805</v>
      </c>
      <c r="O90" s="445" t="n">
        <v>0.6528983223541794</v>
      </c>
      <c r="P90" s="445" t="n">
        <v>1.099982499945418</v>
      </c>
      <c r="Q90" s="445" t="n">
        <v>1.656834221410225</v>
      </c>
      <c r="R90" s="763" t="n">
        <v>0.01331319044471721</v>
      </c>
      <c r="S90" s="763" t="n">
        <v>0.08842443729903537</v>
      </c>
      <c r="T90" s="763" t="n">
        <v>0.264033264033264</v>
      </c>
    </row>
    <row r="91">
      <c r="A91" s="442" t="inlineStr">
        <is>
          <t>Telecom. Services</t>
        </is>
      </c>
      <c r="B91" s="443" t="n">
        <v>288</v>
      </c>
      <c r="C91" s="444" t="n">
        <v>0.0074</v>
      </c>
      <c r="D91" s="444" t="n">
        <v>0.0636</v>
      </c>
      <c r="E91" s="444" t="n">
        <v>0.167</v>
      </c>
      <c r="F91" s="444" t="n">
        <v>-0.0002114164904862579</v>
      </c>
      <c r="G91" s="444" t="n">
        <v>0.09441299250872076</v>
      </c>
      <c r="H91" s="444" t="n">
        <v>0.195330338071739</v>
      </c>
      <c r="I91" s="445" t="n">
        <v>0.556161703055388</v>
      </c>
      <c r="J91" s="445" t="n">
        <v>0.8912082514734774</v>
      </c>
      <c r="K91" s="445" t="n">
        <v>1.715170978621876</v>
      </c>
      <c r="L91" s="763" t="n">
        <v>0.06330644360792485</v>
      </c>
      <c r="M91" s="763" t="n">
        <v>0.06879744565351252</v>
      </c>
      <c r="N91" s="763" t="n">
        <v>0.08093007882844112</v>
      </c>
      <c r="O91" s="445" t="n">
        <v>0.3597801244440085</v>
      </c>
      <c r="P91" s="445" t="n">
        <v>0.776969645728087</v>
      </c>
      <c r="Q91" s="445" t="n">
        <v>1.191754966383076</v>
      </c>
      <c r="R91" s="763" t="n">
        <v>0.08267108167770421</v>
      </c>
      <c r="S91" s="763" t="n">
        <v>0.2274733716489288</v>
      </c>
      <c r="T91" s="763" t="n">
        <v>0.4517086686898008</v>
      </c>
    </row>
    <row r="92">
      <c r="A92" s="442" t="inlineStr">
        <is>
          <t>Tobacco</t>
        </is>
      </c>
      <c r="B92" s="443" t="n">
        <v>56</v>
      </c>
      <c r="C92" s="444" t="n">
        <v>0.027</v>
      </c>
      <c r="D92" s="444" t="n">
        <v>0.0613</v>
      </c>
      <c r="E92" s="444" t="n">
        <v>0.149</v>
      </c>
      <c r="F92" s="444" t="n">
        <v>-0.005756186984417965</v>
      </c>
      <c r="G92" s="444" t="n">
        <v>0.1680473372781065</v>
      </c>
      <c r="H92" s="444" t="n">
        <v>0.3142467620995228</v>
      </c>
      <c r="I92" s="445" t="n">
        <v>0.8892865726674298</v>
      </c>
      <c r="J92" s="445" t="n">
        <v>1.523295298417931</v>
      </c>
      <c r="K92" s="445" t="n">
        <v>2.511271514206842</v>
      </c>
      <c r="L92" s="763" t="n">
        <v>0.06443476105256096</v>
      </c>
      <c r="M92" s="763" t="n">
        <v>0.07355080812421216</v>
      </c>
      <c r="N92" s="763" t="n">
        <v>0.09358818645996324</v>
      </c>
      <c r="O92" s="445" t="n">
        <v>0.2152123835857444</v>
      </c>
      <c r="P92" s="445" t="n">
        <v>0.5277019396298577</v>
      </c>
      <c r="Q92" s="445" t="n">
        <v>0.9767902002696988</v>
      </c>
      <c r="R92" s="763" t="n">
        <v>0.001597979082740869</v>
      </c>
      <c r="S92" s="763" t="n">
        <v>0.0672225117248567</v>
      </c>
      <c r="T92" s="763" t="n">
        <v>0.3413654618473896</v>
      </c>
    </row>
    <row r="93">
      <c r="A93" s="442" t="inlineStr">
        <is>
          <t>Transportation</t>
        </is>
      </c>
      <c r="B93" s="443" t="n">
        <v>814</v>
      </c>
      <c r="C93" s="444" t="n">
        <v>0.00328</v>
      </c>
      <c r="D93" s="444" t="n">
        <v>0.0786</v>
      </c>
      <c r="E93" s="444" t="n">
        <v>0.173</v>
      </c>
      <c r="F93" s="444" t="n">
        <v>-0.01719280184845445</v>
      </c>
      <c r="G93" s="444" t="n">
        <v>0.05554350184421784</v>
      </c>
      <c r="H93" s="444" t="n">
        <v>0.1287379577345628</v>
      </c>
      <c r="I93" s="445" t="n">
        <v>0.6544117647058824</v>
      </c>
      <c r="J93" s="445" t="n">
        <v>1.413583655438984</v>
      </c>
      <c r="K93" s="445" t="n">
        <v>2.611544762455431</v>
      </c>
      <c r="L93" s="763" t="n">
        <v>0.07698267131574446</v>
      </c>
      <c r="M93" s="763" t="n">
        <v>0.0836946495333374</v>
      </c>
      <c r="N93" s="763" t="n">
        <v>0.09567886012560207</v>
      </c>
      <c r="O93" s="445" t="n">
        <v>0.4445828375427921</v>
      </c>
      <c r="P93" s="445" t="n">
        <v>0.8979395946443616</v>
      </c>
      <c r="Q93" s="445" t="n">
        <v>1.399633323807357</v>
      </c>
      <c r="R93" s="763" t="n">
        <v>0.021092820930087</v>
      </c>
      <c r="S93" s="763" t="n">
        <v>0.1551495896213926</v>
      </c>
      <c r="T93" s="763" t="n">
        <v>0.396484375</v>
      </c>
    </row>
    <row r="94">
      <c r="A94" s="442" t="inlineStr">
        <is>
          <t>Transportation (Railroads)</t>
        </is>
      </c>
      <c r="B94" s="443" t="n">
        <v>49</v>
      </c>
      <c r="C94" s="444" t="n">
        <v>0.0269</v>
      </c>
      <c r="D94" s="444" t="n">
        <v>0.0624</v>
      </c>
      <c r="E94" s="444" t="n">
        <v>0.115</v>
      </c>
      <c r="F94" s="444" t="n">
        <v>0.07293796864349011</v>
      </c>
      <c r="G94" s="444" t="n">
        <v>0.1074263472592782</v>
      </c>
      <c r="H94" s="444" t="n">
        <v>0.2047713717693837</v>
      </c>
      <c r="I94" s="445" t="n">
        <v>0.3599557451516902</v>
      </c>
      <c r="J94" s="445" t="n">
        <v>0.4582297186869834</v>
      </c>
      <c r="K94" s="445" t="n">
        <v>0.7373817289720634</v>
      </c>
      <c r="L94" s="763" t="n">
        <v>0.06118119399783414</v>
      </c>
      <c r="M94" s="763" t="n">
        <v>0.06424920615601934</v>
      </c>
      <c r="N94" s="763" t="n">
        <v>0.06648754230255649</v>
      </c>
      <c r="O94" s="445" t="n">
        <v>0.1828397917521003</v>
      </c>
      <c r="P94" s="445" t="n">
        <v>0.6028933787407033</v>
      </c>
      <c r="Q94" s="445" t="n">
        <v>0.9906035137492779</v>
      </c>
      <c r="R94" s="763" t="n">
        <v>0.1724910394265233</v>
      </c>
      <c r="S94" s="763" t="n">
        <v>0.4271493352764663</v>
      </c>
      <c r="T94" s="763" t="n">
        <v>0.5726768722752666</v>
      </c>
    </row>
    <row r="95">
      <c r="A95" s="442" t="inlineStr">
        <is>
          <t>Trucking</t>
        </is>
      </c>
      <c r="B95" s="443" t="n">
        <v>106</v>
      </c>
      <c r="C95" s="444" t="n">
        <v>-0.009910000000000002</v>
      </c>
      <c r="D95" s="444" t="n">
        <v>0.0591</v>
      </c>
      <c r="E95" s="444" t="n">
        <v>0.147</v>
      </c>
      <c r="F95" s="444" t="n">
        <v>0.02324730001830496</v>
      </c>
      <c r="G95" s="444" t="n">
        <v>0.05741638161133827</v>
      </c>
      <c r="H95" s="444" t="n">
        <v>0.09047619047619047</v>
      </c>
      <c r="I95" s="445" t="n">
        <v>0.9779571561626823</v>
      </c>
      <c r="J95" s="445" t="n">
        <v>1.655594127627075</v>
      </c>
      <c r="K95" s="445" t="n">
        <v>2.665105632181728</v>
      </c>
      <c r="L95" s="763" t="n">
        <v>0.07675886351931402</v>
      </c>
      <c r="M95" s="763" t="n">
        <v>0.08289941682706388</v>
      </c>
      <c r="N95" s="763" t="n">
        <v>0.1020702213315716</v>
      </c>
      <c r="O95" s="445" t="n">
        <v>0.5313954068444727</v>
      </c>
      <c r="P95" s="445" t="n">
        <v>0.9499119195296295</v>
      </c>
      <c r="Q95" s="445" t="n">
        <v>1.30838292779792</v>
      </c>
      <c r="R95" s="763" t="n">
        <v>0.140495867768595</v>
      </c>
      <c r="S95" s="763" t="n">
        <v>0.2657023220403502</v>
      </c>
      <c r="T95" s="763" t="n">
        <v>0.4654088050314465</v>
      </c>
    </row>
    <row r="96">
      <c r="A96" s="442" t="inlineStr">
        <is>
          <t>Utility (General)</t>
        </is>
      </c>
      <c r="B96" s="443" t="n">
        <v>50</v>
      </c>
      <c r="C96" s="444" t="n">
        <v>0.0636</v>
      </c>
      <c r="D96" s="444" t="n">
        <v>0.134</v>
      </c>
      <c r="E96" s="444" t="n">
        <v>0.2</v>
      </c>
      <c r="F96" s="444" t="n">
        <v>0.05547201909200119</v>
      </c>
      <c r="G96" s="444" t="n">
        <v>0.1540411252320434</v>
      </c>
      <c r="H96" s="444" t="n">
        <v>0.207190357439734</v>
      </c>
      <c r="I96" s="445" t="n">
        <v>0.3182633308391677</v>
      </c>
      <c r="J96" s="445" t="n">
        <v>0.4077128773478527</v>
      </c>
      <c r="K96" s="445" t="n">
        <v>1.694099825171771</v>
      </c>
      <c r="L96" s="763" t="n">
        <v>0.05683301936089966</v>
      </c>
      <c r="M96" s="763" t="n">
        <v>0.05923308250939412</v>
      </c>
      <c r="N96" s="763" t="n">
        <v>0.06431130618143588</v>
      </c>
      <c r="O96" s="445" t="n">
        <v>0.4677605532147335</v>
      </c>
      <c r="P96" s="445" t="n">
        <v>0.6102849676955249</v>
      </c>
      <c r="Q96" s="445" t="n">
        <v>0.9922063141686707</v>
      </c>
      <c r="R96" s="763" t="n">
        <v>0.3375956732885941</v>
      </c>
      <c r="S96" s="763" t="n">
        <v>0.4599175129102693</v>
      </c>
      <c r="T96" s="763" t="n">
        <v>0.5477355884249122</v>
      </c>
    </row>
    <row r="97">
      <c r="A97" s="442" t="inlineStr">
        <is>
          <t>Utility (Water)</t>
        </is>
      </c>
      <c r="B97" s="443" t="n">
        <v>102</v>
      </c>
      <c r="C97" s="444" t="n">
        <v>0.00155</v>
      </c>
      <c r="D97" s="444" t="n">
        <v>0.0688</v>
      </c>
      <c r="E97" s="444" t="n">
        <v>0.131</v>
      </c>
      <c r="F97" s="444" t="n">
        <v>0.07207578253706755</v>
      </c>
      <c r="G97" s="444" t="n">
        <v>0.2031337437045327</v>
      </c>
      <c r="H97" s="444" t="n">
        <v>0.2759856630824373</v>
      </c>
      <c r="I97" s="445" t="n">
        <v>0.2102032657029534</v>
      </c>
      <c r="J97" s="445" t="n">
        <v>0.34106955107972</v>
      </c>
      <c r="K97" s="445" t="n">
        <v>0.5923620519204716</v>
      </c>
      <c r="L97" s="763" t="n">
        <v>0.05878584302753442</v>
      </c>
      <c r="M97" s="763" t="n">
        <v>0.06229838286605245</v>
      </c>
      <c r="N97" s="763" t="n">
        <v>0.06684683461807117</v>
      </c>
      <c r="O97" s="445" t="n">
        <v>0.4211236677680427</v>
      </c>
      <c r="P97" s="445" t="n">
        <v>0.6038672004336629</v>
      </c>
      <c r="Q97" s="445" t="n">
        <v>0.9149026352085849</v>
      </c>
      <c r="R97" s="763" t="n">
        <v>0.06670579029733958</v>
      </c>
      <c r="S97" s="763" t="n">
        <v>0.3233525957200156</v>
      </c>
      <c r="T97" s="763" t="n">
        <v>0.6080075961386295</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45"/>
  <sheetViews>
    <sheetView workbookViewId="0">
      <selection activeCell="A1" sqref="A1:F4"/>
    </sheetView>
  </sheetViews>
  <sheetFormatPr baseColWidth="10" defaultRowHeight="13"/>
  <cols>
    <col width="34" bestFit="1" customWidth="1" min="1" max="1"/>
    <col width="16" customWidth="1" style="604" min="2" max="2"/>
    <col width="19.83203125" bestFit="1" customWidth="1" style="604" min="3" max="3"/>
    <col width="22.1640625" bestFit="1" customWidth="1" style="604" min="4" max="4"/>
    <col width="14.1640625" bestFit="1" customWidth="1" min="5" max="5"/>
  </cols>
  <sheetData>
    <row r="1">
      <c r="A1" s="764" t="inlineStr">
        <is>
          <t xml:space="preserve">If you are midway through a year, and want to compute updated trailing twelve month numbers, this worksheet may help. You will need your most recent quartely financials (or 10Q) as well as your most recent annual (or 10K). </t>
        </is>
      </c>
      <c r="B1" s="765" t="n"/>
      <c r="C1" s="765" t="n"/>
      <c r="D1" s="765" t="n"/>
      <c r="E1" s="765" t="n"/>
      <c r="F1" s="766" t="n"/>
    </row>
    <row r="2">
      <c r="A2" s="767" t="n"/>
      <c r="F2" s="768" t="n"/>
    </row>
    <row r="3">
      <c r="A3" s="767" t="n"/>
      <c r="F3" s="768" t="n"/>
    </row>
    <row r="4" ht="14" customHeight="1" thickBot="1">
      <c r="A4" s="769" t="n"/>
      <c r="B4" s="770" t="n"/>
      <c r="C4" s="770" t="n"/>
      <c r="D4" s="770" t="n"/>
      <c r="E4" s="770" t="n"/>
      <c r="F4" s="771" t="n"/>
    </row>
    <row r="6">
      <c r="B6" s="80" t="inlineStr">
        <is>
          <t>Last Annual</t>
        </is>
      </c>
      <c r="C6" s="80" t="inlineStr">
        <is>
          <t>First X months: Last year</t>
        </is>
      </c>
      <c r="D6" s="80" t="inlineStr">
        <is>
          <t>First X months: Current year</t>
        </is>
      </c>
      <c r="E6" s="80" t="inlineStr">
        <is>
          <t>Trailing 12 month</t>
        </is>
      </c>
    </row>
    <row r="7" ht="14" customHeight="1">
      <c r="A7" s="36" t="inlineStr">
        <is>
          <t>Revenues</t>
        </is>
      </c>
      <c r="B7" s="772" t="n">
        <v>15794.34</v>
      </c>
      <c r="C7" s="772" t="n">
        <v>7608.13</v>
      </c>
      <c r="D7" s="772" t="n">
        <v>9444.110000000001</v>
      </c>
      <c r="E7" s="773">
        <f>B7-C7+D7</f>
        <v/>
      </c>
    </row>
    <row r="8" ht="14" customHeight="1">
      <c r="A8" s="36" t="inlineStr">
        <is>
          <t>Technology &amp; Content</t>
        </is>
      </c>
      <c r="B8" s="772" t="n">
        <v>1221.81</v>
      </c>
      <c r="C8" s="772" t="n">
        <v>581.41</v>
      </c>
      <c r="D8" s="772" t="n">
        <v>756</v>
      </c>
      <c r="E8" s="773">
        <f>B8-C8+D8</f>
        <v/>
      </c>
    </row>
    <row r="9" ht="14" customHeight="1">
      <c r="A9" s="36" t="inlineStr">
        <is>
          <t>Operating income or EBIT</t>
        </is>
      </c>
      <c r="B9" s="772" t="n">
        <v>1605.23</v>
      </c>
      <c r="C9" s="772" t="n">
        <v>908.79</v>
      </c>
      <c r="D9" s="772" t="n">
        <v>1165.5</v>
      </c>
      <c r="E9" s="773">
        <f>B9-C9+D9</f>
        <v/>
      </c>
    </row>
    <row r="10" ht="14" customHeight="1">
      <c r="A10" s="36" t="inlineStr">
        <is>
          <t>Interest expenses</t>
        </is>
      </c>
      <c r="B10" s="772" t="n">
        <v>420.49</v>
      </c>
      <c r="C10" s="772" t="n">
        <v>182.82</v>
      </c>
      <c r="D10" s="772" t="n">
        <v>287.56</v>
      </c>
      <c r="E10" s="773">
        <f>B10-C10+D10</f>
        <v/>
      </c>
    </row>
    <row r="11" ht="14" customHeight="1">
      <c r="A11" s="36" t="inlineStr">
        <is>
          <t>Book value of equity</t>
        </is>
      </c>
      <c r="B11" s="772" t="n">
        <v>5238.77</v>
      </c>
      <c r="C11" s="772" t="n"/>
      <c r="D11" s="772" t="n">
        <v>6105.55</v>
      </c>
      <c r="E11" s="773" t="n"/>
    </row>
    <row r="12" ht="14" customHeight="1">
      <c r="A12" s="36" t="inlineStr">
        <is>
          <t>Book value of debt</t>
        </is>
      </c>
      <c r="B12" s="772" t="n">
        <v>10360</v>
      </c>
      <c r="C12" s="772" t="n"/>
      <c r="D12" s="772" t="n">
        <v>12594.14</v>
      </c>
      <c r="E12" s="773" t="n"/>
    </row>
    <row r="13" ht="14" customHeight="1">
      <c r="A13" s="36" t="inlineStr">
        <is>
          <t>Do you have operating lease commitments?</t>
        </is>
      </c>
      <c r="B13" s="772" t="n"/>
      <c r="C13" s="772" t="n"/>
      <c r="D13" s="772" t="n"/>
      <c r="E13" s="773" t="n"/>
    </row>
    <row r="14" ht="14" customHeight="1">
      <c r="A14" s="36" t="inlineStr">
        <is>
          <t>Cash and cross holdings</t>
        </is>
      </c>
      <c r="B14" s="772" t="n">
        <v>3794.48</v>
      </c>
      <c r="C14" s="772" t="n"/>
      <c r="D14" s="772" t="n">
        <v>5004.25</v>
      </c>
      <c r="E14" s="773" t="n"/>
    </row>
    <row r="15" ht="14" customHeight="1">
      <c r="A15" s="36" t="inlineStr">
        <is>
          <t xml:space="preserve">Non-operating assets </t>
        </is>
      </c>
      <c r="B15" s="772" t="n">
        <v>0</v>
      </c>
      <c r="C15" s="772" t="n"/>
      <c r="D15" s="772" t="n">
        <v>0</v>
      </c>
      <c r="E15" s="773" t="n"/>
    </row>
    <row r="16" ht="14" customHeight="1">
      <c r="A16" s="36" t="inlineStr">
        <is>
          <t>Minority interests</t>
        </is>
      </c>
      <c r="B16" s="772" t="n">
        <v>0</v>
      </c>
      <c r="C16" s="772" t="n"/>
      <c r="D16" s="772" t="n">
        <v>0</v>
      </c>
      <c r="E16" s="773" t="n"/>
    </row>
    <row r="17" ht="14" customHeight="1">
      <c r="A17" s="36" t="inlineStr">
        <is>
          <t>Number of shares outstanding =</t>
        </is>
      </c>
      <c r="B17" s="772" t="n"/>
      <c r="C17" s="772" t="n"/>
      <c r="D17" s="772" t="n"/>
      <c r="E17" s="773" t="n"/>
    </row>
    <row r="18" ht="14" customHeight="1">
      <c r="A18" s="36" t="inlineStr">
        <is>
          <t>Current stock price =</t>
        </is>
      </c>
      <c r="B18" s="774" t="n"/>
      <c r="C18" s="772" t="n"/>
      <c r="D18" s="772" t="n"/>
      <c r="E18" s="773" t="n"/>
    </row>
    <row r="19" ht="14" customHeight="1">
      <c r="A19" s="36" t="inlineStr">
        <is>
          <t>Effective tax rate =</t>
        </is>
      </c>
      <c r="B19" s="94">
        <f>15885/61372</f>
        <v/>
      </c>
      <c r="C19" s="94">
        <f>6965/27030</f>
        <v/>
      </c>
      <c r="D19" s="94">
        <f>3941/23906</f>
        <v/>
      </c>
      <c r="E19" s="1" t="n"/>
    </row>
    <row r="20" ht="14" customHeight="1">
      <c r="A20" s="36" t="inlineStr">
        <is>
          <t>Marginal tax rate =</t>
        </is>
      </c>
      <c r="B20" s="80" t="n"/>
      <c r="C20" s="80" t="n"/>
      <c r="D20" s="80" t="n"/>
      <c r="E20" s="1" t="n"/>
    </row>
    <row r="21" ht="14" customFormat="1" customHeight="1" s="2">
      <c r="A21" s="37" t="inlineStr">
        <is>
          <t>Lease commitments</t>
        </is>
      </c>
      <c r="B21" s="775" t="n"/>
      <c r="C21" s="775" t="n"/>
      <c r="D21" s="775" t="n"/>
      <c r="E21" s="776" t="n"/>
    </row>
    <row r="22" ht="14" customHeight="1">
      <c r="A22" s="35" t="inlineStr">
        <is>
          <t>Year 1</t>
        </is>
      </c>
      <c r="B22" s="777" t="n">
        <v>172.47</v>
      </c>
      <c r="C22" s="778" t="n"/>
      <c r="D22" s="778" t="inlineStr">
        <is>
          <t>NA</t>
        </is>
      </c>
      <c r="E22" s="779" t="n"/>
    </row>
    <row r="23" ht="14" customHeight="1">
      <c r="A23" s="35" t="inlineStr">
        <is>
          <t>Year 2</t>
        </is>
      </c>
      <c r="B23" s="777" t="n">
        <v>139.4</v>
      </c>
      <c r="C23" s="780" t="inlineStr">
        <is>
          <t>Copy into operating lease worksheet</t>
        </is>
      </c>
      <c r="D23" s="778" t="inlineStr">
        <is>
          <t>NA</t>
        </is>
      </c>
      <c r="E23" s="779" t="n"/>
    </row>
    <row r="24" ht="14" customHeight="1">
      <c r="A24" s="35" t="inlineStr">
        <is>
          <t>Year 3</t>
        </is>
      </c>
      <c r="B24" s="777" t="n">
        <v>145.18</v>
      </c>
      <c r="C24" s="659" t="n"/>
      <c r="D24" s="778" t="inlineStr">
        <is>
          <t>NA</t>
        </is>
      </c>
      <c r="E24" s="779" t="n"/>
    </row>
    <row r="25" ht="14" customHeight="1">
      <c r="A25" s="35" t="inlineStr">
        <is>
          <t>Year 4</t>
        </is>
      </c>
      <c r="B25" s="777" t="n">
        <v>156.53</v>
      </c>
      <c r="C25" s="659" t="n"/>
      <c r="D25" s="778" t="inlineStr">
        <is>
          <t>NA</t>
        </is>
      </c>
      <c r="E25" s="779" t="n"/>
    </row>
    <row r="26" ht="14" customHeight="1">
      <c r="A26" s="35" t="inlineStr">
        <is>
          <t>Year 5</t>
        </is>
      </c>
      <c r="B26" s="777" t="n">
        <v>151.2</v>
      </c>
      <c r="C26" s="659" t="n"/>
      <c r="D26" s="778" t="inlineStr">
        <is>
          <t>NA</t>
        </is>
      </c>
      <c r="E26" s="779" t="n"/>
    </row>
    <row r="27" ht="14" customHeight="1">
      <c r="A27" s="35" t="inlineStr">
        <is>
          <t>Beyond year 5</t>
        </is>
      </c>
      <c r="B27" s="144" t="n">
        <v>943.63</v>
      </c>
      <c r="C27" s="659" t="n"/>
      <c r="D27" s="778" t="inlineStr">
        <is>
          <t>NA</t>
        </is>
      </c>
      <c r="E27" s="779" t="n"/>
    </row>
    <row r="28">
      <c r="B28" s="781" t="n"/>
      <c r="C28" s="659" t="n"/>
    </row>
    <row r="30" ht="14" customHeight="1">
      <c r="A30" s="35" t="inlineStr">
        <is>
          <t>Current year's lease expense</t>
        </is>
      </c>
      <c r="B30" s="782" t="n">
        <v>107</v>
      </c>
    </row>
    <row r="34">
      <c r="D34" s="772" t="n">
        <v>75872</v>
      </c>
    </row>
    <row r="35">
      <c r="D35" s="772" t="n">
        <v>2404</v>
      </c>
    </row>
    <row r="36">
      <c r="D36" s="772" t="n">
        <v>24171</v>
      </c>
    </row>
    <row r="37">
      <c r="D37" s="772" t="n">
        <v>276</v>
      </c>
    </row>
    <row r="41">
      <c r="A41" t="inlineStr">
        <is>
          <t>G&amp;A</t>
        </is>
      </c>
      <c r="B41" s="604" t="n">
        <v>630.29</v>
      </c>
      <c r="C41" s="604" t="n">
        <v>286.14</v>
      </c>
      <c r="D41" s="604" t="n">
        <v>426.61</v>
      </c>
      <c r="E41">
        <f>B41-C41+D41</f>
        <v/>
      </c>
    </row>
    <row r="42">
      <c r="A42" t="inlineStr">
        <is>
          <t>Marketing Costs</t>
        </is>
      </c>
      <c r="B42" s="604" t="n">
        <v>2369.47</v>
      </c>
      <c r="C42" s="604" t="n">
        <v>1128.78</v>
      </c>
      <c r="D42" s="604" t="n">
        <v>1219.73</v>
      </c>
      <c r="E42">
        <f>B42-C42+D42</f>
        <v/>
      </c>
    </row>
    <row r="43">
      <c r="A43" t="inlineStr">
        <is>
          <t>Content Costs</t>
        </is>
      </c>
      <c r="B43" s="604" t="n">
        <v>9967.540000000001</v>
      </c>
      <c r="C43" s="604" t="n">
        <v>4703.01</v>
      </c>
      <c r="D43" s="604" t="n">
        <v>5876.21</v>
      </c>
      <c r="E43">
        <f>B43-C43+D43</f>
        <v/>
      </c>
    </row>
    <row r="45">
      <c r="A45" t="inlineStr">
        <is>
          <t>Content Costs (Cash Flows)</t>
        </is>
      </c>
      <c r="B45" s="604" t="n">
        <v>13043</v>
      </c>
      <c r="C45" s="604" t="n">
        <v>6020.47</v>
      </c>
      <c r="D45" s="604" t="n">
        <v>6322.85</v>
      </c>
      <c r="E45">
        <f>B45-C45+D45</f>
        <v/>
      </c>
    </row>
  </sheetData>
  <mergeCells count="2">
    <mergeCell ref="C23:C28"/>
    <mergeCell ref="A1:F4"/>
  </mergeCells>
  <pageMargins left="0.75" right="0.75" top="1" bottom="1" header="0.5" footer="0.5"/>
  <pageSetup orientation="landscape" horizontalDpi="4294967292" verticalDpi="4294967292"/>
</worksheet>
</file>

<file path=xl/worksheets/sheet17.xml><?xml version="1.0" encoding="utf-8"?>
<worksheet xmlns="http://schemas.openxmlformats.org/spreadsheetml/2006/main">
  <sheetPr>
    <outlinePr summaryBelow="1" summaryRight="1"/>
    <pageSetUpPr/>
  </sheetPr>
  <dimension ref="A1:J16"/>
  <sheetViews>
    <sheetView workbookViewId="0">
      <selection activeCell="H4" sqref="H4"/>
    </sheetView>
  </sheetViews>
  <sheetFormatPr baseColWidth="10" defaultRowHeight="13"/>
  <cols>
    <col width="6.33203125" bestFit="1" customWidth="1" min="1" max="1"/>
    <col width="16.5" bestFit="1" customWidth="1" min="2" max="2"/>
    <col width="18.33203125" bestFit="1" customWidth="1" min="3" max="3"/>
    <col width="12.33203125" bestFit="1" customWidth="1" min="4" max="5"/>
    <col width="17.6640625" bestFit="1" customWidth="1" min="6" max="6"/>
    <col width="20.33203125" customWidth="1" min="9" max="9"/>
    <col width="18.83203125" customWidth="1" min="10" max="10"/>
  </cols>
  <sheetData>
    <row r="1" customFormat="1" s="148">
      <c r="A1" s="148" t="inlineStr">
        <is>
          <t>Yes/No</t>
        </is>
      </c>
      <c r="B1" s="148" t="inlineStr">
        <is>
          <t>Book or Market Value</t>
        </is>
      </c>
      <c r="C1" s="148" t="inlineStr">
        <is>
          <t>ERP choices</t>
        </is>
      </c>
      <c r="D1" s="148" t="inlineStr">
        <is>
          <t>Cost of debt</t>
        </is>
      </c>
      <c r="E1" s="148" t="inlineStr">
        <is>
          <t>Synthetic rating</t>
        </is>
      </c>
      <c r="F1" s="148" t="inlineStr">
        <is>
          <t>Beta</t>
        </is>
      </c>
      <c r="G1" t="inlineStr">
        <is>
          <t>Rating is</t>
        </is>
      </c>
      <c r="H1" s="148" t="inlineStr">
        <is>
          <t>Region</t>
        </is>
      </c>
      <c r="I1" s="148" t="inlineStr">
        <is>
          <t>Cost of Capital Approach</t>
        </is>
      </c>
      <c r="J1" s="148"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s="447" t="inlineStr">
        <is>
          <t>First Decile</t>
        </is>
      </c>
      <c r="I2" t="inlineStr">
        <is>
          <t>I will input</t>
        </is>
      </c>
      <c r="J2" s="80" t="n">
        <v>0</v>
      </c>
    </row>
    <row r="3">
      <c r="A3" t="inlineStr">
        <is>
          <t>No</t>
        </is>
      </c>
      <c r="B3" t="inlineStr">
        <is>
          <t>V</t>
        </is>
      </c>
      <c r="C3" t="inlineStr">
        <is>
          <t>Country of incorporation</t>
        </is>
      </c>
      <c r="D3" t="inlineStr">
        <is>
          <t>Synthetic rating</t>
        </is>
      </c>
      <c r="E3" t="n">
        <v>2</v>
      </c>
      <c r="F3" t="inlineStr">
        <is>
          <t>Single Business(US)</t>
        </is>
      </c>
      <c r="G3" t="inlineStr">
        <is>
          <t>Aa2/AA</t>
        </is>
      </c>
      <c r="H3" s="448" t="inlineStr">
        <is>
          <t>First Quartile</t>
        </is>
      </c>
      <c r="I3" t="inlineStr">
        <is>
          <t>Detailed</t>
        </is>
      </c>
      <c r="J3" s="80" t="n">
        <v>1</v>
      </c>
    </row>
    <row r="4">
      <c r="C4" t="inlineStr">
        <is>
          <t>Operating countries</t>
        </is>
      </c>
      <c r="D4" t="inlineStr">
        <is>
          <t>Actual rating</t>
        </is>
      </c>
      <c r="F4" t="inlineStr">
        <is>
          <t>Single Business(Global)</t>
        </is>
      </c>
      <c r="G4" t="inlineStr">
        <is>
          <t>A1/A+</t>
        </is>
      </c>
      <c r="H4" s="448" t="inlineStr">
        <is>
          <t>Median</t>
        </is>
      </c>
      <c r="I4" t="inlineStr">
        <is>
          <t>Industry Average</t>
        </is>
      </c>
      <c r="J4" s="80" t="n">
        <v>2</v>
      </c>
    </row>
    <row r="5">
      <c r="C5" t="inlineStr">
        <is>
          <t>Operating regions</t>
        </is>
      </c>
      <c r="F5" t="inlineStr">
        <is>
          <t>Multibusiness(US)</t>
        </is>
      </c>
      <c r="G5" t="inlineStr">
        <is>
          <t>A2/A</t>
        </is>
      </c>
      <c r="H5" s="448" t="inlineStr">
        <is>
          <t>Third Quartile</t>
        </is>
      </c>
      <c r="I5" t="inlineStr">
        <is>
          <t>Distribution</t>
        </is>
      </c>
      <c r="J5" s="80" t="n">
        <v>3</v>
      </c>
    </row>
    <row r="6">
      <c r="F6" t="inlineStr">
        <is>
          <t>Multibusiness(Global)</t>
        </is>
      </c>
      <c r="G6" t="inlineStr">
        <is>
          <t>A3/A-</t>
        </is>
      </c>
      <c r="H6" s="448"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2024-02-09T01:28:34Z</dcterms:modified>
  <cp:lastModifiedBy>Microsoft Office User</cp:lastModifiedBy>
  <cp:lastPrinted>2011-01-17T15:04:26Z</cp:lastPrinted>
</cp:coreProperties>
</file>